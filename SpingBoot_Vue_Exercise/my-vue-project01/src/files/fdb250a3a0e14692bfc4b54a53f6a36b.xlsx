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020" tabRatio="830"/>
  </bookViews>
  <sheets>
    <sheet name="23广电工" sheetId="7" r:id="rId1"/>
    <sheet name="23计科1班" sheetId="8" r:id="rId2"/>
    <sheet name="23计科2班" sheetId="9" r:id="rId3"/>
    <sheet name="23计科3班" sheetId="15" r:id="rId4"/>
    <sheet name="23数媒技术1班" sheetId="1" r:id="rId5"/>
    <sheet name="23数媒技术2班" sheetId="2" r:id="rId6"/>
    <sheet name="23数媒技术3班" sheetId="3" r:id="rId7"/>
    <sheet name="23智科1班" sheetId="11" r:id="rId8"/>
    <sheet name="23智科2班" sheetId="4" r:id="rId9"/>
    <sheet name="23数媒技术（专转本）1班" sheetId="5" r:id="rId10"/>
    <sheet name="23数媒技术（专转本）2班" sheetId="13" r:id="rId11"/>
    <sheet name="23数媒技术（专转本）3班" sheetId="14" r:id="rId12"/>
    <sheet name="23数媒技术（专转本）4班" sheetId="6" r:id="rId13"/>
    <sheet name="23计科（专转本）1班" sheetId="12" r:id="rId14"/>
    <sheet name="23计科（专转本）2班" sheetId="16" r:id="rId15"/>
    <sheet name="23计科（专转本）3班" sheetId="17" r:id="rId16"/>
    <sheet name="23计科（专转本）4班" sheetId="18" r:id="rId17"/>
    <sheet name="23计科（专转本）5班" sheetId="19" r:id="rId18"/>
    <sheet name="23计科（专转本）6班" sheetId="20" r:id="rId19"/>
    <sheet name="23计科（3+2）1班" sheetId="21" r:id="rId20"/>
    <sheet name="23计科（3+2）2班" sheetId="22" r:id="rId21"/>
    <sheet name="23计科（3+2）3班" sheetId="23" r:id="rId22"/>
    <sheet name="23数媒技术（3+2）1班" sheetId="24" r:id="rId23"/>
    <sheet name="23数媒技术（3+2）2班" sheetId="25" r:id="rId24"/>
    <sheet name="23级综测前百分之四十" sheetId="10" r:id="rId25"/>
  </sheets>
  <externalReferences>
    <externalReference r:id="rId26"/>
    <externalReference r:id="rId27"/>
    <externalReference r:id="rId28"/>
  </externalReferences>
  <definedNames>
    <definedName name="_xlnm._FilterDatabase" localSheetId="24" hidden="1">'23级综测前百分之四十'!$A$1:$M$344</definedName>
  </definedNames>
  <calcPr calcId="144525"/>
</workbook>
</file>

<file path=xl/sharedStrings.xml><?xml version="1.0" encoding="utf-8"?>
<sst xmlns="http://schemas.openxmlformats.org/spreadsheetml/2006/main" count="3651" uniqueCount="2057">
  <si>
    <t xml:space="preserve">  附件3：</t>
  </si>
  <si>
    <t>南京传媒学院2025-2026学年综合测评登记表</t>
  </si>
  <si>
    <r>
      <rPr>
        <sz val="12"/>
        <color theme="1"/>
        <rFont val="仿宋"/>
        <charset val="134"/>
      </rPr>
      <t xml:space="preserve">  学院（盖章）：</t>
    </r>
    <r>
      <rPr>
        <u/>
        <sz val="12"/>
        <color theme="1"/>
        <rFont val="仿宋"/>
        <charset val="134"/>
      </rPr>
      <t xml:space="preserve">  智能媒体工程学院   </t>
    </r>
    <r>
      <rPr>
        <sz val="12"/>
        <color theme="1"/>
        <rFont val="仿宋"/>
        <charset val="134"/>
      </rPr>
      <t xml:space="preserve">        年级：</t>
    </r>
    <r>
      <rPr>
        <u/>
        <sz val="12"/>
        <color theme="1"/>
        <rFont val="仿宋"/>
        <charset val="134"/>
      </rPr>
      <t xml:space="preserve"> 2023级</t>
    </r>
    <r>
      <rPr>
        <u/>
        <sz val="12"/>
        <rFont val="仿宋"/>
        <charset val="134"/>
      </rPr>
      <t xml:space="preserve"> </t>
    </r>
    <r>
      <rPr>
        <sz val="12"/>
        <rFont val="仿宋"/>
        <charset val="134"/>
      </rPr>
      <t xml:space="preserve">      班级/专业：</t>
    </r>
    <r>
      <rPr>
        <u/>
        <sz val="12"/>
        <rFont val="仿宋"/>
        <charset val="134"/>
      </rPr>
      <t xml:space="preserve">     23广电工    </t>
    </r>
    <r>
      <rPr>
        <sz val="12"/>
        <rFont val="仿宋"/>
        <charset val="134"/>
      </rPr>
      <t>班级</t>
    </r>
    <r>
      <rPr>
        <sz val="12"/>
        <color theme="1"/>
        <rFont val="仿宋"/>
        <charset val="134"/>
      </rPr>
      <t>/专业总人数：</t>
    </r>
    <r>
      <rPr>
        <u/>
        <sz val="12"/>
        <color theme="1"/>
        <rFont val="仿宋"/>
        <charset val="134"/>
      </rPr>
      <t xml:space="preserve">   34   </t>
    </r>
  </si>
  <si>
    <t>名次</t>
  </si>
  <si>
    <t>学号</t>
  </si>
  <si>
    <t>姓名</t>
  </si>
  <si>
    <t>基本素质总评（R1）</t>
  </si>
  <si>
    <t>学习成绩总评（R2）</t>
  </si>
  <si>
    <t>体育成绩总评( R3)</t>
  </si>
  <si>
    <t>实践与能力创新测评G</t>
  </si>
  <si>
    <t>日常行为减分项H</t>
  </si>
  <si>
    <t>综合测评（R）
R=R1*30%+R2*60%+R3*10%+G-H</t>
  </si>
  <si>
    <t>特等</t>
  </si>
  <si>
    <t>一等</t>
  </si>
  <si>
    <t>二等</t>
  </si>
  <si>
    <t>三等</t>
  </si>
  <si>
    <t>三好</t>
  </si>
  <si>
    <t>优干</t>
  </si>
  <si>
    <t>20230801134</t>
  </si>
  <si>
    <t>吴雨婷</t>
  </si>
  <si>
    <t>91.36</t>
  </si>
  <si>
    <t>√</t>
  </si>
  <si>
    <t>20230801101</t>
  </si>
  <si>
    <t>鲍泓秀</t>
  </si>
  <si>
    <t>89.09</t>
  </si>
  <si>
    <t>20230801115</t>
  </si>
  <si>
    <t>阚彤</t>
  </si>
  <si>
    <t>87.00</t>
  </si>
  <si>
    <t>20230801127</t>
  </si>
  <si>
    <t>马欣彤</t>
  </si>
  <si>
    <t>79.36</t>
  </si>
  <si>
    <t>20230801114</t>
  </si>
  <si>
    <t>荆铎</t>
  </si>
  <si>
    <t>89.36</t>
  </si>
  <si>
    <t>20230801130</t>
  </si>
  <si>
    <t>田珂</t>
  </si>
  <si>
    <t>20230801128</t>
  </si>
  <si>
    <t>唐梨梨</t>
  </si>
  <si>
    <t>86.36</t>
  </si>
  <si>
    <t>20230801107</t>
  </si>
  <si>
    <t>冯子娟</t>
  </si>
  <si>
    <t>87.91</t>
  </si>
  <si>
    <t>20230801135</t>
  </si>
  <si>
    <t>吴治杭</t>
  </si>
  <si>
    <t>75.73</t>
  </si>
  <si>
    <t>20230801116</t>
  </si>
  <si>
    <t>雷香雨</t>
  </si>
  <si>
    <t>81.82</t>
  </si>
  <si>
    <t>20230801109</t>
  </si>
  <si>
    <t>韩宇彤</t>
  </si>
  <si>
    <t>84.18</t>
  </si>
  <si>
    <t>20230801105</t>
  </si>
  <si>
    <t>邓陈雨</t>
  </si>
  <si>
    <t>82.45</t>
  </si>
  <si>
    <t>20230801118</t>
  </si>
  <si>
    <t>李思璐</t>
  </si>
  <si>
    <t>20230801119</t>
  </si>
  <si>
    <t>李子涵</t>
  </si>
  <si>
    <t>81.55</t>
  </si>
  <si>
    <t>20230801123</t>
  </si>
  <si>
    <t>刘晓雨</t>
  </si>
  <si>
    <t>80.36</t>
  </si>
  <si>
    <t>20230801108</t>
  </si>
  <si>
    <t>高子叶</t>
  </si>
  <si>
    <t>86.82</t>
  </si>
  <si>
    <t>20230801138</t>
  </si>
  <si>
    <t>张皙悦</t>
  </si>
  <si>
    <t>73.36</t>
  </si>
  <si>
    <t>20230801136</t>
  </si>
  <si>
    <t>肖延顺</t>
  </si>
  <si>
    <t>76.82</t>
  </si>
  <si>
    <t>20230801102</t>
  </si>
  <si>
    <t>陈荣鲜</t>
  </si>
  <si>
    <t>76.64</t>
  </si>
  <si>
    <t>20230801113</t>
  </si>
  <si>
    <t>金玉婷</t>
  </si>
  <si>
    <t>76.09</t>
  </si>
  <si>
    <t>20230801120</t>
  </si>
  <si>
    <t>林静怡</t>
  </si>
  <si>
    <t>79.91</t>
  </si>
  <si>
    <t>20230801137</t>
  </si>
  <si>
    <t>徐开润</t>
  </si>
  <si>
    <t>70.09</t>
  </si>
  <si>
    <t>20230801126</t>
  </si>
  <si>
    <t>马田园</t>
  </si>
  <si>
    <t>77.36</t>
  </si>
  <si>
    <t>20230801131</t>
  </si>
  <si>
    <t>万欣怡</t>
  </si>
  <si>
    <t>80.45</t>
  </si>
  <si>
    <t>20230801132</t>
  </si>
  <si>
    <t>王舒</t>
  </si>
  <si>
    <t>73.27</t>
  </si>
  <si>
    <t>20230801139</t>
  </si>
  <si>
    <t>邹彦乐</t>
  </si>
  <si>
    <t>73.55</t>
  </si>
  <si>
    <t>20230801117</t>
  </si>
  <si>
    <t>李庆烨</t>
  </si>
  <si>
    <t>74.09</t>
  </si>
  <si>
    <t>20230801133</t>
  </si>
  <si>
    <t>王雨彤</t>
  </si>
  <si>
    <t>81.64</t>
  </si>
  <si>
    <t>20230801103</t>
  </si>
  <si>
    <t>储梁焌</t>
  </si>
  <si>
    <t>77.45</t>
  </si>
  <si>
    <t>20230801121</t>
  </si>
  <si>
    <t>刘辰颢</t>
  </si>
  <si>
    <t>69.00</t>
  </si>
  <si>
    <t>20230801110</t>
  </si>
  <si>
    <t>何嘉源</t>
  </si>
  <si>
    <t>79.00</t>
  </si>
  <si>
    <t>20230801106</t>
  </si>
  <si>
    <t>董宇轩</t>
  </si>
  <si>
    <t>73.82</t>
  </si>
  <si>
    <t>20230801111</t>
  </si>
  <si>
    <t>何钎瑀</t>
  </si>
  <si>
    <t>68.55</t>
  </si>
  <si>
    <t>20230801125</t>
  </si>
  <si>
    <t>罗伦华</t>
  </si>
  <si>
    <t>62.00</t>
  </si>
  <si>
    <t xml:space="preserve">  备注：被评选为“特等、一等、二等、三等、三好、优干”的同学，在对应奖项处打“√”。</t>
  </si>
  <si>
    <r>
      <rPr>
        <sz val="12"/>
        <color theme="1"/>
        <rFont val="仿宋"/>
        <charset val="134"/>
      </rPr>
      <t xml:space="preserve">  学院（盖章）：</t>
    </r>
    <r>
      <rPr>
        <u/>
        <sz val="12"/>
        <color theme="1"/>
        <rFont val="仿宋"/>
        <charset val="134"/>
      </rPr>
      <t>智能媒体工程学院</t>
    </r>
    <r>
      <rPr>
        <sz val="12"/>
        <color theme="1"/>
        <rFont val="仿宋"/>
        <charset val="134"/>
      </rPr>
      <t xml:space="preserve">         年级：</t>
    </r>
    <r>
      <rPr>
        <u/>
        <sz val="12"/>
        <color theme="1"/>
        <rFont val="仿宋"/>
        <charset val="134"/>
      </rPr>
      <t xml:space="preserve"> 2023级       </t>
    </r>
    <r>
      <rPr>
        <sz val="12"/>
        <color theme="1"/>
        <rFont val="仿宋"/>
        <charset val="134"/>
      </rPr>
      <t xml:space="preserve">            </t>
    </r>
    <r>
      <rPr>
        <sz val="12"/>
        <rFont val="仿宋"/>
        <charset val="134"/>
      </rPr>
      <t>班级/专业</t>
    </r>
    <r>
      <rPr>
        <sz val="12"/>
        <color theme="1"/>
        <rFont val="仿宋"/>
        <charset val="134"/>
      </rPr>
      <t>：</t>
    </r>
    <r>
      <rPr>
        <u/>
        <sz val="12"/>
        <color theme="1"/>
        <rFont val="仿宋"/>
        <charset val="134"/>
      </rPr>
      <t xml:space="preserve"> 23计科1班   </t>
    </r>
    <r>
      <rPr>
        <sz val="12"/>
        <color theme="1"/>
        <rFont val="仿宋"/>
        <charset val="134"/>
      </rPr>
      <t xml:space="preserve">      班级/专业总人数：</t>
    </r>
    <r>
      <rPr>
        <u/>
        <sz val="12"/>
        <color theme="1"/>
        <rFont val="仿宋"/>
        <charset val="134"/>
      </rPr>
      <t xml:space="preserve">37     </t>
    </r>
  </si>
  <si>
    <t>陈妍</t>
  </si>
  <si>
    <t>90.18</t>
  </si>
  <si>
    <t>20230802107</t>
  </si>
  <si>
    <t>李欣芮</t>
  </si>
  <si>
    <t>83.36</t>
  </si>
  <si>
    <t>20230802106</t>
  </si>
  <si>
    <t>姜卓然</t>
  </si>
  <si>
    <t>20230802121</t>
  </si>
  <si>
    <t>祁天乐</t>
  </si>
  <si>
    <t>84.91</t>
  </si>
  <si>
    <t>20230802115</t>
  </si>
  <si>
    <t>刘姗姗</t>
  </si>
  <si>
    <t>86.27</t>
  </si>
  <si>
    <t>20230802139</t>
  </si>
  <si>
    <t>王海鹏</t>
  </si>
  <si>
    <t>78.91</t>
  </si>
  <si>
    <t>20230802127</t>
  </si>
  <si>
    <t>沈嘉怡</t>
  </si>
  <si>
    <t>87.27</t>
  </si>
  <si>
    <t>20230802108</t>
  </si>
  <si>
    <t>李悦婷</t>
  </si>
  <si>
    <t>82.82</t>
  </si>
  <si>
    <t>20230802128</t>
  </si>
  <si>
    <t>石柳祎</t>
  </si>
  <si>
    <t>83.27</t>
  </si>
  <si>
    <t>20230802137</t>
  </si>
  <si>
    <t>王菲</t>
  </si>
  <si>
    <t>83.00</t>
  </si>
  <si>
    <t>20230802105</t>
  </si>
  <si>
    <t>葛钰佳</t>
  </si>
  <si>
    <t>82.64</t>
  </si>
  <si>
    <t>20230802136</t>
  </si>
  <si>
    <t>万国全</t>
  </si>
  <si>
    <t>75.64</t>
  </si>
  <si>
    <t>20230802102</t>
  </si>
  <si>
    <t>程苏婉</t>
  </si>
  <si>
    <t>80.55</t>
  </si>
  <si>
    <t>20230802125</t>
  </si>
  <si>
    <t>尚湟清</t>
  </si>
  <si>
    <t>81.18</t>
  </si>
  <si>
    <t>20230802117</t>
  </si>
  <si>
    <t>刘子敬</t>
  </si>
  <si>
    <t>82.91</t>
  </si>
  <si>
    <t>20230802134</t>
  </si>
  <si>
    <t>孙岚</t>
  </si>
  <si>
    <t>80.09</t>
  </si>
  <si>
    <t>20230802140</t>
  </si>
  <si>
    <t>王晶毅</t>
  </si>
  <si>
    <t>20230802119</t>
  </si>
  <si>
    <t>马秉忱</t>
  </si>
  <si>
    <t>77.82</t>
  </si>
  <si>
    <t>20230802123</t>
  </si>
  <si>
    <t>阮丽月</t>
  </si>
  <si>
    <t>76.73</t>
  </si>
  <si>
    <t>20230802131</t>
  </si>
  <si>
    <t>苏志远</t>
  </si>
  <si>
    <t>20230802138</t>
  </si>
  <si>
    <t>王凤阳</t>
  </si>
  <si>
    <t>77.64</t>
  </si>
  <si>
    <t>20230802109</t>
  </si>
  <si>
    <t>梁明阳</t>
  </si>
  <si>
    <t>80.00</t>
  </si>
  <si>
    <t>20230802124</t>
  </si>
  <si>
    <t>沙洲</t>
  </si>
  <si>
    <t>77.18</t>
  </si>
  <si>
    <t>20230802116</t>
  </si>
  <si>
    <t>刘袁轩</t>
  </si>
  <si>
    <t>20230802103</t>
  </si>
  <si>
    <t>崔玉</t>
  </si>
  <si>
    <t>82.73</t>
  </si>
  <si>
    <t>20230802135</t>
  </si>
  <si>
    <t>唐豪</t>
  </si>
  <si>
    <t>77.00</t>
  </si>
  <si>
    <t>20230802118</t>
  </si>
  <si>
    <t>陆诚凯</t>
  </si>
  <si>
    <t>76.27</t>
  </si>
  <si>
    <t>20230802126</t>
  </si>
  <si>
    <t>沈海炎</t>
  </si>
  <si>
    <t>74.00</t>
  </si>
  <si>
    <t>20230802104</t>
  </si>
  <si>
    <t>高文静</t>
  </si>
  <si>
    <t>20230802111</t>
  </si>
  <si>
    <t>凌振豪</t>
  </si>
  <si>
    <t>78.64</t>
  </si>
  <si>
    <t>20230802114</t>
  </si>
  <si>
    <t>刘若溪</t>
  </si>
  <si>
    <t>20220816133</t>
  </si>
  <si>
    <t>尹婕</t>
  </si>
  <si>
    <t>77.31</t>
  </si>
  <si>
    <t>20230802122</t>
  </si>
  <si>
    <t>秦瑞</t>
  </si>
  <si>
    <t>20230802112</t>
  </si>
  <si>
    <t>刘嘉鹏</t>
  </si>
  <si>
    <t>74.27</t>
  </si>
  <si>
    <t>20230802110</t>
  </si>
  <si>
    <t>林沐遥</t>
  </si>
  <si>
    <t>69.55</t>
  </si>
  <si>
    <t>20230802120</t>
  </si>
  <si>
    <t>马梓翔</t>
  </si>
  <si>
    <t>65.82</t>
  </si>
  <si>
    <t>20230802133</t>
  </si>
  <si>
    <t>孙锦泽</t>
  </si>
  <si>
    <t>67.45</t>
  </si>
  <si>
    <r>
      <rPr>
        <sz val="12"/>
        <color theme="1"/>
        <rFont val="仿宋"/>
        <charset val="134"/>
      </rPr>
      <t xml:space="preserve">  学院（盖章）：</t>
    </r>
    <r>
      <rPr>
        <u/>
        <sz val="12"/>
        <color rgb="FF000000"/>
        <rFont val="仿宋"/>
        <charset val="134"/>
      </rPr>
      <t xml:space="preserve"> 智能媒体工程学院        </t>
    </r>
    <r>
      <rPr>
        <sz val="12"/>
        <color rgb="FF000000"/>
        <rFont val="仿宋"/>
        <charset val="134"/>
      </rPr>
      <t xml:space="preserve">   年级：</t>
    </r>
    <r>
      <rPr>
        <u/>
        <sz val="12"/>
        <color rgb="FF000000"/>
        <rFont val="仿宋"/>
        <charset val="134"/>
      </rPr>
      <t xml:space="preserve">  2023级      </t>
    </r>
    <r>
      <rPr>
        <sz val="12"/>
        <rFont val="仿宋"/>
        <charset val="134"/>
      </rPr>
      <t xml:space="preserve">        班级/专业：</t>
    </r>
    <r>
      <rPr>
        <u/>
        <sz val="12"/>
        <rFont val="仿宋"/>
        <charset val="134"/>
      </rPr>
      <t xml:space="preserve">  23计科2班       </t>
    </r>
    <r>
      <rPr>
        <sz val="12"/>
        <rFont val="仿宋"/>
        <charset val="134"/>
      </rPr>
      <t xml:space="preserve"> </t>
    </r>
    <r>
      <rPr>
        <sz val="12"/>
        <color rgb="FF000000"/>
        <rFont val="仿宋"/>
        <charset val="134"/>
      </rPr>
      <t>班级/专业总人数：</t>
    </r>
    <r>
      <rPr>
        <u/>
        <sz val="12"/>
        <color rgb="FF000000"/>
        <rFont val="仿宋"/>
        <charset val="134"/>
      </rPr>
      <t xml:space="preserve">38    </t>
    </r>
  </si>
  <si>
    <t>20230802237</t>
  </si>
  <si>
    <t>赵一帆</t>
  </si>
  <si>
    <t>92.09</t>
  </si>
  <si>
    <t>20230802218</t>
  </si>
  <si>
    <t>邢添夏</t>
  </si>
  <si>
    <t>83.18</t>
  </si>
  <si>
    <t>20230802202</t>
  </si>
  <si>
    <t>杜哲浪</t>
  </si>
  <si>
    <t>20230802209</t>
  </si>
  <si>
    <t>王紫晴</t>
  </si>
  <si>
    <t>85.45</t>
  </si>
  <si>
    <t>20230802236</t>
  </si>
  <si>
    <t>赵蜀</t>
  </si>
  <si>
    <t>20230802224</t>
  </si>
  <si>
    <t>杨雨凡</t>
  </si>
  <si>
    <t>20230802211</t>
  </si>
  <si>
    <t>吴嘉鑫</t>
  </si>
  <si>
    <t>83.73</t>
  </si>
  <si>
    <t>20230802226</t>
  </si>
  <si>
    <t>余若水</t>
  </si>
  <si>
    <t>20230802221</t>
  </si>
  <si>
    <t>颜梓轩</t>
  </si>
  <si>
    <t>80.27</t>
  </si>
  <si>
    <t>20230802230</t>
  </si>
  <si>
    <t>臧雪</t>
  </si>
  <si>
    <t>83.09</t>
  </si>
  <si>
    <t>20230802234</t>
  </si>
  <si>
    <t>张子怡</t>
  </si>
  <si>
    <t>82.27</t>
  </si>
  <si>
    <t>20230802220</t>
  </si>
  <si>
    <t>徐熙昊</t>
  </si>
  <si>
    <t>严紫璇</t>
  </si>
  <si>
    <t>程欣悦</t>
  </si>
  <si>
    <t>20230802228</t>
  </si>
  <si>
    <t>原珍敏</t>
  </si>
  <si>
    <t>20230802229</t>
  </si>
  <si>
    <t>岳宇翔</t>
  </si>
  <si>
    <t>20230802232</t>
  </si>
  <si>
    <t>张育翟</t>
  </si>
  <si>
    <t>20230802235</t>
  </si>
  <si>
    <t>赵浩</t>
  </si>
  <si>
    <t>78.82</t>
  </si>
  <si>
    <t>20230802213</t>
  </si>
  <si>
    <t>吴宇轩</t>
  </si>
  <si>
    <t>20230802214</t>
  </si>
  <si>
    <t>夏安琪</t>
  </si>
  <si>
    <t>75.18</t>
  </si>
  <si>
    <t>20230802216</t>
  </si>
  <si>
    <t>项臻</t>
  </si>
  <si>
    <t>75.55</t>
  </si>
  <si>
    <t>20230802233</t>
  </si>
  <si>
    <t>张朱辰</t>
  </si>
  <si>
    <t>79.73</t>
  </si>
  <si>
    <t>20230802212</t>
  </si>
  <si>
    <t>吴雨欣</t>
  </si>
  <si>
    <t>74.18</t>
  </si>
  <si>
    <t>20230802241</t>
  </si>
  <si>
    <t>祝鑫瑞</t>
  </si>
  <si>
    <t>74.55</t>
  </si>
  <si>
    <t>20230802227</t>
  </si>
  <si>
    <t>郁硕</t>
  </si>
  <si>
    <t>20230802219</t>
  </si>
  <si>
    <t>徐晓科</t>
  </si>
  <si>
    <t>79.09</t>
  </si>
  <si>
    <t>20230802217</t>
  </si>
  <si>
    <t>谢锦玉</t>
  </si>
  <si>
    <t>76.55</t>
  </si>
  <si>
    <t>20230802203</t>
  </si>
  <si>
    <t>侯佳奇</t>
  </si>
  <si>
    <t>20230802215</t>
  </si>
  <si>
    <t>夏铭辰</t>
  </si>
  <si>
    <t>20230802206</t>
  </si>
  <si>
    <t>王如峰</t>
  </si>
  <si>
    <t>20230802205</t>
  </si>
  <si>
    <t>任颖捷</t>
  </si>
  <si>
    <t>79.82</t>
  </si>
  <si>
    <t>20230802239</t>
  </si>
  <si>
    <t>周昀毅</t>
  </si>
  <si>
    <t>77.27</t>
  </si>
  <si>
    <t>20230802223</t>
  </si>
  <si>
    <t>杨灿</t>
  </si>
  <si>
    <t>20230802238</t>
  </si>
  <si>
    <t>周扬</t>
  </si>
  <si>
    <t>72.82</t>
  </si>
  <si>
    <t>20230802208</t>
  </si>
  <si>
    <t>王孝军</t>
  </si>
  <si>
    <t>71.36</t>
  </si>
  <si>
    <t>20230802210</t>
  </si>
  <si>
    <t>温言言</t>
  </si>
  <si>
    <t>76.00</t>
  </si>
  <si>
    <t>20230802225</t>
  </si>
  <si>
    <t>殷俊汐</t>
  </si>
  <si>
    <t>20230802207</t>
  </si>
  <si>
    <t>王圣涛</t>
  </si>
  <si>
    <t>64.45</t>
  </si>
  <si>
    <r>
      <rPr>
        <sz val="12"/>
        <color theme="1"/>
        <rFont val="仿宋"/>
        <charset val="134"/>
      </rPr>
      <t xml:space="preserve">  学院（盖章）： </t>
    </r>
    <r>
      <rPr>
        <u/>
        <sz val="12"/>
        <color theme="1"/>
        <rFont val="仿宋"/>
        <charset val="134"/>
      </rPr>
      <t xml:space="preserve"> 智能媒体工程学院  </t>
    </r>
    <r>
      <rPr>
        <sz val="12"/>
        <color theme="1"/>
        <rFont val="仿宋"/>
        <charset val="134"/>
      </rPr>
      <t xml:space="preserve">        年级：</t>
    </r>
    <r>
      <rPr>
        <u/>
        <sz val="12"/>
        <color theme="1"/>
        <rFont val="仿宋"/>
        <charset val="134"/>
      </rPr>
      <t xml:space="preserve">  2</t>
    </r>
    <r>
      <rPr>
        <u/>
        <sz val="12"/>
        <rFont val="仿宋"/>
        <charset val="134"/>
      </rPr>
      <t xml:space="preserve">023级     </t>
    </r>
    <r>
      <rPr>
        <sz val="12"/>
        <rFont val="仿宋"/>
        <charset val="134"/>
      </rPr>
      <t xml:space="preserve">        班级/专业：</t>
    </r>
    <r>
      <rPr>
        <u/>
        <sz val="12"/>
        <rFont val="仿宋"/>
        <charset val="134"/>
      </rPr>
      <t xml:space="preserve">     23计科</t>
    </r>
    <r>
      <rPr>
        <u/>
        <sz val="12"/>
        <color theme="1"/>
        <rFont val="仿宋"/>
        <charset val="134"/>
      </rPr>
      <t xml:space="preserve">3班      </t>
    </r>
    <r>
      <rPr>
        <sz val="12"/>
        <color theme="1"/>
        <rFont val="仿宋"/>
        <charset val="134"/>
      </rPr>
      <t>班级/专业总人数：</t>
    </r>
    <r>
      <rPr>
        <u/>
        <sz val="12"/>
        <color theme="1"/>
        <rFont val="仿宋"/>
        <charset val="134"/>
      </rPr>
      <t xml:space="preserve">  40      </t>
    </r>
  </si>
  <si>
    <t>曹振宇</t>
  </si>
  <si>
    <t>裴呦呦</t>
  </si>
  <si>
    <t>岑凯旋</t>
  </si>
  <si>
    <t>张悠悠</t>
  </si>
  <si>
    <t>顾育玮</t>
  </si>
  <si>
    <t>吴若婷</t>
  </si>
  <si>
    <t>段希萌</t>
  </si>
  <si>
    <t>柏静铭</t>
  </si>
  <si>
    <t>董耘妃</t>
  </si>
  <si>
    <t>陈嘉颖</t>
  </si>
  <si>
    <t>孟思语</t>
  </si>
  <si>
    <t>樊士洲</t>
  </si>
  <si>
    <t>潘子良</t>
  </si>
  <si>
    <t>冉萍</t>
  </si>
  <si>
    <t>周子湘</t>
  </si>
  <si>
    <t>汪贵雨</t>
  </si>
  <si>
    <t>成志远</t>
  </si>
  <si>
    <t>李辉辉</t>
  </si>
  <si>
    <t>陈贤江</t>
  </si>
  <si>
    <t>曹杨</t>
  </si>
  <si>
    <t>周成坤</t>
  </si>
  <si>
    <t>李屹</t>
  </si>
  <si>
    <t>汪菲菲</t>
  </si>
  <si>
    <t>胡兵</t>
  </si>
  <si>
    <t>李勇</t>
  </si>
  <si>
    <t>黎晨岑</t>
  </si>
  <si>
    <t>孔祥瑞</t>
  </si>
  <si>
    <t>苗冰冰</t>
  </si>
  <si>
    <t>刘静雯</t>
  </si>
  <si>
    <t>付甜怡</t>
  </si>
  <si>
    <t>兰明洪</t>
  </si>
  <si>
    <t>陈许</t>
  </si>
  <si>
    <t>毛俊庭</t>
  </si>
  <si>
    <t>郜源</t>
  </si>
  <si>
    <t>郝义</t>
  </si>
  <si>
    <t>何奕航</t>
  </si>
  <si>
    <t>李大桥</t>
  </si>
  <si>
    <t>吴昊</t>
  </si>
  <si>
    <t>赵忆晨阳</t>
  </si>
  <si>
    <t>张宇同</t>
  </si>
  <si>
    <r>
      <t xml:space="preserve">  学院（盖章）：智能媒体工程学院        年级：</t>
    </r>
    <r>
      <rPr>
        <u/>
        <sz val="12"/>
        <color theme="1"/>
        <rFont val="仿宋"/>
        <charset val="134"/>
      </rPr>
      <t xml:space="preserve">2023级 </t>
    </r>
    <r>
      <rPr>
        <sz val="12"/>
        <color theme="1"/>
        <rFont val="仿宋"/>
        <charset val="134"/>
      </rPr>
      <t xml:space="preserve"> </t>
    </r>
    <r>
      <rPr>
        <sz val="12"/>
        <rFont val="仿宋"/>
        <charset val="134"/>
      </rPr>
      <t xml:space="preserve">      班级/专业：</t>
    </r>
    <r>
      <rPr>
        <u/>
        <sz val="12"/>
        <rFont val="仿宋"/>
        <charset val="134"/>
      </rPr>
      <t xml:space="preserve">    23数媒技术</t>
    </r>
    <r>
      <rPr>
        <u/>
        <sz val="12"/>
        <color theme="1"/>
        <rFont val="仿宋"/>
        <charset val="134"/>
      </rPr>
      <t xml:space="preserve">1班   </t>
    </r>
    <r>
      <rPr>
        <sz val="12"/>
        <color theme="1"/>
        <rFont val="仿宋"/>
        <charset val="134"/>
      </rPr>
      <t xml:space="preserve">        班级/专业总人数：</t>
    </r>
    <r>
      <rPr>
        <u/>
        <sz val="12"/>
        <color theme="1"/>
        <rFont val="仿宋"/>
        <charset val="134"/>
      </rPr>
      <t xml:space="preserve">40   </t>
    </r>
  </si>
  <si>
    <t>夏应心</t>
  </si>
  <si>
    <t>涂欢琦</t>
  </si>
  <si>
    <t>冯鑫琳</t>
  </si>
  <si>
    <t>曹熙茜</t>
  </si>
  <si>
    <t>周岩</t>
  </si>
  <si>
    <t>呼祺涵</t>
  </si>
  <si>
    <t>袁礼红</t>
  </si>
  <si>
    <t>郑子怡</t>
  </si>
  <si>
    <t>邹齐</t>
  </si>
  <si>
    <t>刘欣</t>
  </si>
  <si>
    <t>杨诗琦</t>
  </si>
  <si>
    <t>何勰</t>
  </si>
  <si>
    <t>黄馨</t>
  </si>
  <si>
    <t>周川惠</t>
  </si>
  <si>
    <t>周思忆</t>
  </si>
  <si>
    <t>连栎祺</t>
  </si>
  <si>
    <t>马富中</t>
  </si>
  <si>
    <t>姚婧</t>
  </si>
  <si>
    <t>郭美杉</t>
  </si>
  <si>
    <t>臧子涵</t>
  </si>
  <si>
    <t>张宸瑞</t>
  </si>
  <si>
    <t>张天齐</t>
  </si>
  <si>
    <t>朱刘希</t>
  </si>
  <si>
    <t>刘辉煌</t>
  </si>
  <si>
    <t>张心童</t>
  </si>
  <si>
    <t>李子欣</t>
  </si>
  <si>
    <t>朱梦涵</t>
  </si>
  <si>
    <t>于容</t>
  </si>
  <si>
    <t>许智琛</t>
  </si>
  <si>
    <t>张博涵</t>
  </si>
  <si>
    <t>李雪</t>
  </si>
  <si>
    <t>张雯涵</t>
  </si>
  <si>
    <t>段泽涛</t>
  </si>
  <si>
    <t>20230805139</t>
  </si>
  <si>
    <t>朱席坤</t>
  </si>
  <si>
    <t>赵晨杰</t>
  </si>
  <si>
    <t>朱奕霖</t>
  </si>
  <si>
    <t>俞佳诚</t>
  </si>
  <si>
    <t>万梓烨</t>
  </si>
  <si>
    <t>周鑫龙</t>
  </si>
  <si>
    <t>顾斌</t>
  </si>
  <si>
    <r>
      <t xml:space="preserve">  学院（盖章）：</t>
    </r>
    <r>
      <rPr>
        <u/>
        <sz val="12"/>
        <color theme="1"/>
        <rFont val="仿宋"/>
        <charset val="134"/>
      </rPr>
      <t xml:space="preserve"> 智能媒体工程学院 </t>
    </r>
    <r>
      <rPr>
        <sz val="12"/>
        <color theme="1"/>
        <rFont val="仿宋"/>
        <charset val="134"/>
      </rPr>
      <t xml:space="preserve">        年级：</t>
    </r>
    <r>
      <rPr>
        <u/>
        <sz val="12"/>
        <color theme="1"/>
        <rFont val="仿宋"/>
        <charset val="134"/>
      </rPr>
      <t xml:space="preserve">2023级   </t>
    </r>
    <r>
      <rPr>
        <sz val="12"/>
        <color theme="1"/>
        <rFont val="仿宋"/>
        <charset val="134"/>
      </rPr>
      <t xml:space="preserve"> </t>
    </r>
    <r>
      <rPr>
        <sz val="12"/>
        <rFont val="仿宋"/>
        <charset val="134"/>
      </rPr>
      <t xml:space="preserve">     班级/专业：</t>
    </r>
    <r>
      <rPr>
        <u/>
        <sz val="12"/>
        <rFont val="仿宋"/>
        <charset val="134"/>
      </rPr>
      <t xml:space="preserve">    23</t>
    </r>
    <r>
      <rPr>
        <u/>
        <sz val="12"/>
        <color theme="1"/>
        <rFont val="仿宋"/>
        <charset val="134"/>
      </rPr>
      <t xml:space="preserve">数媒技术2班    </t>
    </r>
    <r>
      <rPr>
        <sz val="12"/>
        <color theme="1"/>
        <rFont val="仿宋"/>
        <charset val="134"/>
      </rPr>
      <t>班级/专业总人数：</t>
    </r>
    <r>
      <rPr>
        <u/>
        <sz val="12"/>
        <color theme="1"/>
        <rFont val="仿宋"/>
        <charset val="134"/>
      </rPr>
      <t xml:space="preserve"> 37   </t>
    </r>
  </si>
  <si>
    <t>20220815215</t>
  </si>
  <si>
    <t>董雨润</t>
  </si>
  <si>
    <t>20230805201</t>
  </si>
  <si>
    <t>单婉晴</t>
  </si>
  <si>
    <t>20230805202</t>
  </si>
  <si>
    <t>马新义</t>
  </si>
  <si>
    <t>20230805204</t>
  </si>
  <si>
    <t>宋妮</t>
  </si>
  <si>
    <t>20230805205</t>
  </si>
  <si>
    <t>凌昕蕊</t>
  </si>
  <si>
    <t>20230805206</t>
  </si>
  <si>
    <t>胡佳琳</t>
  </si>
  <si>
    <t>20230805207</t>
  </si>
  <si>
    <t>林义松</t>
  </si>
  <si>
    <t>20230805208</t>
  </si>
  <si>
    <t>方元</t>
  </si>
  <si>
    <t>20230805209</t>
  </si>
  <si>
    <t>陈紫嫣</t>
  </si>
  <si>
    <t>20230805210</t>
  </si>
  <si>
    <t>苏文静</t>
  </si>
  <si>
    <t>20230805211</t>
  </si>
  <si>
    <t>冯璨</t>
  </si>
  <si>
    <t>20230805212</t>
  </si>
  <si>
    <t>刘雪玲</t>
  </si>
  <si>
    <t>20230805213</t>
  </si>
  <si>
    <t>高天然</t>
  </si>
  <si>
    <t>20230805214</t>
  </si>
  <si>
    <t>魏瑛琪</t>
  </si>
  <si>
    <t>20230805215</t>
  </si>
  <si>
    <t>邹雨静</t>
  </si>
  <si>
    <t>20230805216</t>
  </si>
  <si>
    <t>毕舒畅</t>
  </si>
  <si>
    <t>20230805217</t>
  </si>
  <si>
    <t>崔浏婧</t>
  </si>
  <si>
    <t>20230805218</t>
  </si>
  <si>
    <t>何淋婧</t>
  </si>
  <si>
    <t>20230805219</t>
  </si>
  <si>
    <t>汪依婷</t>
  </si>
  <si>
    <t>20230805220</t>
  </si>
  <si>
    <t>程程</t>
  </si>
  <si>
    <t>20230805221</t>
  </si>
  <si>
    <t>关思源</t>
  </si>
  <si>
    <t>20230805222</t>
  </si>
  <si>
    <t>卢荟</t>
  </si>
  <si>
    <t>20230805223</t>
  </si>
  <si>
    <t>李昕茹</t>
  </si>
  <si>
    <t>20230805224</t>
  </si>
  <si>
    <t>高玮晨</t>
  </si>
  <si>
    <t>20230805225</t>
  </si>
  <si>
    <t>王宇航</t>
  </si>
  <si>
    <t>20230805226</t>
  </si>
  <si>
    <t>刘宁欣</t>
  </si>
  <si>
    <t>20230805227</t>
  </si>
  <si>
    <t>陈思婷</t>
  </si>
  <si>
    <t>20230805228</t>
  </si>
  <si>
    <t>范子彬</t>
  </si>
  <si>
    <t>20230805229</t>
  </si>
  <si>
    <t>金斌杰</t>
  </si>
  <si>
    <t>20230805231</t>
  </si>
  <si>
    <t>周钾旺</t>
  </si>
  <si>
    <t>20230805232</t>
  </si>
  <si>
    <t>李雨泽</t>
  </si>
  <si>
    <t>20230805233</t>
  </si>
  <si>
    <t>程煜</t>
  </si>
  <si>
    <t>20230805235</t>
  </si>
  <si>
    <t>向微</t>
  </si>
  <si>
    <t>20230805236</t>
  </si>
  <si>
    <t>韦苏恬</t>
  </si>
  <si>
    <t>20230805237</t>
  </si>
  <si>
    <t>刘旋</t>
  </si>
  <si>
    <t>20230805239</t>
  </si>
  <si>
    <t>高小川</t>
  </si>
  <si>
    <t>20230805240</t>
  </si>
  <si>
    <t>王衍迪</t>
  </si>
  <si>
    <r>
      <rPr>
        <sz val="12"/>
        <color theme="1"/>
        <rFont val="仿宋"/>
        <charset val="134"/>
      </rPr>
      <t xml:space="preserve">  学院（盖章）：</t>
    </r>
    <r>
      <rPr>
        <u/>
        <sz val="12"/>
        <color theme="1"/>
        <rFont val="仿宋"/>
        <charset val="134"/>
      </rPr>
      <t xml:space="preserve">  智能媒体工程学院 </t>
    </r>
    <r>
      <rPr>
        <sz val="12"/>
        <color theme="1"/>
        <rFont val="仿宋"/>
        <charset val="134"/>
      </rPr>
      <t xml:space="preserve">       年级：</t>
    </r>
    <r>
      <rPr>
        <u/>
        <sz val="12"/>
        <color theme="1"/>
        <rFont val="仿宋"/>
        <charset val="134"/>
      </rPr>
      <t xml:space="preserve">   2023级     </t>
    </r>
    <r>
      <rPr>
        <sz val="12"/>
        <color theme="1"/>
        <rFont val="仿宋"/>
        <charset val="134"/>
      </rPr>
      <t xml:space="preserve">      </t>
    </r>
    <r>
      <rPr>
        <sz val="12"/>
        <rFont val="仿宋"/>
        <charset val="134"/>
      </rPr>
      <t>班级/专业：</t>
    </r>
    <r>
      <rPr>
        <u/>
        <sz val="12"/>
        <rFont val="仿宋"/>
        <charset val="134"/>
      </rPr>
      <t xml:space="preserve">     23数</t>
    </r>
    <r>
      <rPr>
        <u/>
        <sz val="12"/>
        <color theme="1"/>
        <rFont val="仿宋"/>
        <charset val="134"/>
      </rPr>
      <t xml:space="preserve">媒技术3班    </t>
    </r>
    <r>
      <rPr>
        <sz val="12"/>
        <color theme="1"/>
        <rFont val="仿宋"/>
        <charset val="134"/>
      </rPr>
      <t>班级/专业总人数：</t>
    </r>
    <r>
      <rPr>
        <u/>
        <sz val="12"/>
        <color theme="1"/>
        <rFont val="仿宋"/>
        <charset val="134"/>
      </rPr>
      <t xml:space="preserve">   38     </t>
    </r>
  </si>
  <si>
    <t>20230805301</t>
  </si>
  <si>
    <t>黄芷璎</t>
  </si>
  <si>
    <t>81.73</t>
  </si>
  <si>
    <t>20230805305</t>
  </si>
  <si>
    <t>李思妍</t>
  </si>
  <si>
    <t>20230805317</t>
  </si>
  <si>
    <t>孙萌羚</t>
  </si>
  <si>
    <t>83.64</t>
  </si>
  <si>
    <t>20230805303</t>
  </si>
  <si>
    <t>李继豪</t>
  </si>
  <si>
    <t>20230805338</t>
  </si>
  <si>
    <t>杨佳仪</t>
  </si>
  <si>
    <t>87.36</t>
  </si>
  <si>
    <t>20230805323</t>
  </si>
  <si>
    <t>王淙璟</t>
  </si>
  <si>
    <t>20230805337</t>
  </si>
  <si>
    <t>杨佳慧</t>
  </si>
  <si>
    <t>85.82</t>
  </si>
  <si>
    <t>20230805322</t>
  </si>
  <si>
    <t>仝雅男</t>
  </si>
  <si>
    <t>81.91</t>
  </si>
  <si>
    <t>20230805309</t>
  </si>
  <si>
    <t>刘悦</t>
  </si>
  <si>
    <t>84.82</t>
  </si>
  <si>
    <t>20230805313</t>
  </si>
  <si>
    <t>聂梦丽</t>
  </si>
  <si>
    <t>20230805320</t>
  </si>
  <si>
    <t>陶梓欣</t>
  </si>
  <si>
    <t>20230805321</t>
  </si>
  <si>
    <t>田园</t>
  </si>
  <si>
    <t>84.64</t>
  </si>
  <si>
    <t>20230805340</t>
  </si>
  <si>
    <t>杨悦</t>
  </si>
  <si>
    <t>20230805324</t>
  </si>
  <si>
    <t>王湘瑜</t>
  </si>
  <si>
    <t>80.64</t>
  </si>
  <si>
    <t>20230805319</t>
  </si>
  <si>
    <t>汤芷芩</t>
  </si>
  <si>
    <t>78.45</t>
  </si>
  <si>
    <t>20230805326</t>
  </si>
  <si>
    <t>王子元</t>
  </si>
  <si>
    <t>20230805314</t>
  </si>
  <si>
    <t>沈雅星</t>
  </si>
  <si>
    <t>79.45</t>
  </si>
  <si>
    <t>20230805304</t>
  </si>
  <si>
    <t>李瑾</t>
  </si>
  <si>
    <t>78.00</t>
  </si>
  <si>
    <t>20230805302</t>
  </si>
  <si>
    <t>姜齐眉</t>
  </si>
  <si>
    <t>80.82</t>
  </si>
  <si>
    <t>20230805330</t>
  </si>
  <si>
    <t>夏凡丁</t>
  </si>
  <si>
    <t>20230805333</t>
  </si>
  <si>
    <t>熊吉蕊</t>
  </si>
  <si>
    <t>79.18</t>
  </si>
  <si>
    <t>20230805336</t>
  </si>
  <si>
    <t>徐苏涓</t>
  </si>
  <si>
    <t>20230805329</t>
  </si>
  <si>
    <t>吴雨彤</t>
  </si>
  <si>
    <t>82.55</t>
  </si>
  <si>
    <t>20230805327</t>
  </si>
  <si>
    <t>韦琦</t>
  </si>
  <si>
    <t>75.91</t>
  </si>
  <si>
    <t>20230805335</t>
  </si>
  <si>
    <t>徐俊杰</t>
  </si>
  <si>
    <t>75.82</t>
  </si>
  <si>
    <t>20230805307</t>
  </si>
  <si>
    <t>梁安琪</t>
  </si>
  <si>
    <t>20230805316</t>
  </si>
  <si>
    <t>孙昊月</t>
  </si>
  <si>
    <t>85.64</t>
  </si>
  <si>
    <t>20230805315</t>
  </si>
  <si>
    <t>时俊彦</t>
  </si>
  <si>
    <t>20230805310</t>
  </si>
  <si>
    <t>柳志伟</t>
  </si>
  <si>
    <t>74.73</t>
  </si>
  <si>
    <t>20230805308</t>
  </si>
  <si>
    <t>刘商桥</t>
  </si>
  <si>
    <t>20230805334</t>
  </si>
  <si>
    <t>胥颖</t>
  </si>
  <si>
    <t>77.91</t>
  </si>
  <si>
    <t>20230805328</t>
  </si>
  <si>
    <t>翁钱澄</t>
  </si>
  <si>
    <t>78.09</t>
  </si>
  <si>
    <t>20230805339</t>
  </si>
  <si>
    <t>杨路</t>
  </si>
  <si>
    <t>20230805325</t>
  </si>
  <si>
    <t>王雨睿</t>
  </si>
  <si>
    <t>70.82</t>
  </si>
  <si>
    <t>20230805332</t>
  </si>
  <si>
    <t>谢明宇</t>
  </si>
  <si>
    <t>68.18</t>
  </si>
  <si>
    <t>20230805318</t>
  </si>
  <si>
    <t>孙也婷</t>
  </si>
  <si>
    <t>63.45</t>
  </si>
  <si>
    <t>20230805312</t>
  </si>
  <si>
    <t>吕阔豪</t>
  </si>
  <si>
    <t>67.73</t>
  </si>
  <si>
    <t>20230805311</t>
  </si>
  <si>
    <t>鲁笑延</t>
  </si>
  <si>
    <t>63.73</t>
  </si>
  <si>
    <r>
      <t xml:space="preserve">  学院（盖章）：</t>
    </r>
    <r>
      <rPr>
        <u/>
        <sz val="12"/>
        <color theme="1"/>
        <rFont val="仿宋"/>
        <charset val="134"/>
      </rPr>
      <t xml:space="preserve"> 智能媒体工程学院   </t>
    </r>
    <r>
      <rPr>
        <sz val="12"/>
        <color theme="1"/>
        <rFont val="仿宋"/>
        <charset val="134"/>
      </rPr>
      <t xml:space="preserve">            年级： </t>
    </r>
    <r>
      <rPr>
        <u/>
        <sz val="12"/>
        <color theme="1"/>
        <rFont val="仿宋"/>
        <charset val="134"/>
      </rPr>
      <t xml:space="preserve">  2023级   </t>
    </r>
    <r>
      <rPr>
        <sz val="12"/>
        <color theme="1"/>
        <rFont val="仿宋"/>
        <charset val="134"/>
      </rPr>
      <t xml:space="preserve">       班级/专业：</t>
    </r>
    <r>
      <rPr>
        <u/>
        <sz val="12"/>
        <color theme="1"/>
        <rFont val="仿宋"/>
        <charset val="134"/>
      </rPr>
      <t xml:space="preserve">23智科1班 </t>
    </r>
    <r>
      <rPr>
        <sz val="12"/>
        <color theme="1"/>
        <rFont val="仿宋"/>
        <charset val="134"/>
      </rPr>
      <t xml:space="preserve">     班级/专业总人数：</t>
    </r>
    <r>
      <rPr>
        <u/>
        <sz val="12"/>
        <color theme="1"/>
        <rFont val="仿宋"/>
        <charset val="134"/>
      </rPr>
      <t xml:space="preserve">36   </t>
    </r>
    <r>
      <rPr>
        <sz val="12"/>
        <color theme="1"/>
        <rFont val="仿宋"/>
        <charset val="134"/>
      </rPr>
      <t xml:space="preserve">     </t>
    </r>
  </si>
  <si>
    <t>20230817114</t>
  </si>
  <si>
    <t>葛星雨</t>
  </si>
  <si>
    <t>81.50</t>
  </si>
  <si>
    <t>20230817103</t>
  </si>
  <si>
    <t>常陈</t>
  </si>
  <si>
    <t>89.58</t>
  </si>
  <si>
    <t>20230817139</t>
  </si>
  <si>
    <t>赵泽芬</t>
  </si>
  <si>
    <t>83.92</t>
  </si>
  <si>
    <t>20230817101</t>
  </si>
  <si>
    <t>安琪</t>
  </si>
  <si>
    <t>83.67</t>
  </si>
  <si>
    <t>20230817125</t>
  </si>
  <si>
    <t>李金丽</t>
  </si>
  <si>
    <t>83.58</t>
  </si>
  <si>
    <t>20230817119</t>
  </si>
  <si>
    <t>黄继晨</t>
  </si>
  <si>
    <t>82.92</t>
  </si>
  <si>
    <t>20230817112</t>
  </si>
  <si>
    <t>高雅婷</t>
  </si>
  <si>
    <t>80.50</t>
  </si>
  <si>
    <t>20230817106</t>
  </si>
  <si>
    <t>成嘉辉</t>
  </si>
  <si>
    <t>78.33</t>
  </si>
  <si>
    <t>20230817123</t>
  </si>
  <si>
    <t>蒋邹琪</t>
  </si>
  <si>
    <t>83.17</t>
  </si>
  <si>
    <t>20230817129</t>
  </si>
  <si>
    <t>李思颖</t>
  </si>
  <si>
    <t>81.92</t>
  </si>
  <si>
    <t>20230817138</t>
  </si>
  <si>
    <t>赵耀</t>
  </si>
  <si>
    <t>79.58</t>
  </si>
  <si>
    <t>20230817102</t>
  </si>
  <si>
    <t>曹思雨</t>
  </si>
  <si>
    <t>80.75</t>
  </si>
  <si>
    <t>20230817104</t>
  </si>
  <si>
    <t>陈佳俊</t>
  </si>
  <si>
    <t>84.17</t>
  </si>
  <si>
    <t>20230817132</t>
  </si>
  <si>
    <t>潘明阳</t>
  </si>
  <si>
    <t>79.92</t>
  </si>
  <si>
    <t>20230817133</t>
  </si>
  <si>
    <t>钱磊</t>
  </si>
  <si>
    <t>77.50</t>
  </si>
  <si>
    <t>20230817120</t>
  </si>
  <si>
    <t>吉小奕</t>
  </si>
  <si>
    <t>77.92</t>
  </si>
  <si>
    <t>20230817118</t>
  </si>
  <si>
    <t>黄浩成</t>
  </si>
  <si>
    <t>80.25</t>
  </si>
  <si>
    <t>20230817121</t>
  </si>
  <si>
    <t>蒋秉辰</t>
  </si>
  <si>
    <t>79.25</t>
  </si>
  <si>
    <t>20230817134</t>
  </si>
  <si>
    <t>陶思琪</t>
  </si>
  <si>
    <t>20230817131</t>
  </si>
  <si>
    <t>陆佳豪</t>
  </si>
  <si>
    <t>75.50</t>
  </si>
  <si>
    <t>20230817128</t>
  </si>
  <si>
    <t>李乔雅</t>
  </si>
  <si>
    <t>78.17</t>
  </si>
  <si>
    <t>20230817136</t>
  </si>
  <si>
    <t>王宇轩</t>
  </si>
  <si>
    <t>20230817116</t>
  </si>
  <si>
    <t>何祖鑫</t>
  </si>
  <si>
    <t>20230817109</t>
  </si>
  <si>
    <t>董奕彤</t>
  </si>
  <si>
    <t>75.08</t>
  </si>
  <si>
    <t>20230817107</t>
  </si>
  <si>
    <t>程甜甜</t>
  </si>
  <si>
    <t>75.67</t>
  </si>
  <si>
    <t>20230817126</t>
  </si>
  <si>
    <t>李俊帅</t>
  </si>
  <si>
    <t>76.17</t>
  </si>
  <si>
    <t>20230817137</t>
  </si>
  <si>
    <t>杨鑫</t>
  </si>
  <si>
    <t>73.83</t>
  </si>
  <si>
    <t>20230817110</t>
  </si>
  <si>
    <t>高磊</t>
  </si>
  <si>
    <t>78.75</t>
  </si>
  <si>
    <t>20230817115</t>
  </si>
  <si>
    <t>郭世杰</t>
  </si>
  <si>
    <t>74.17</t>
  </si>
  <si>
    <t>20230817122</t>
  </si>
  <si>
    <t>姜泓宇</t>
  </si>
  <si>
    <t>20230817135</t>
  </si>
  <si>
    <t>田进峰</t>
  </si>
  <si>
    <t>73.58</t>
  </si>
  <si>
    <t>20230817124</t>
  </si>
  <si>
    <t>雷邦国</t>
  </si>
  <si>
    <t>20230817117</t>
  </si>
  <si>
    <t>黄恩泽</t>
  </si>
  <si>
    <t>77.08</t>
  </si>
  <si>
    <t>20230817113</t>
  </si>
  <si>
    <t>葛啸铭</t>
  </si>
  <si>
    <t>70.92</t>
  </si>
  <si>
    <t>20230817108</t>
  </si>
  <si>
    <t>董锦岚</t>
  </si>
  <si>
    <t>70.08</t>
  </si>
  <si>
    <t>20230817105</t>
  </si>
  <si>
    <t>陈彦霖</t>
  </si>
  <si>
    <r>
      <rPr>
        <sz val="12"/>
        <color theme="1"/>
        <rFont val="仿宋"/>
        <charset val="134"/>
      </rPr>
      <t xml:space="preserve">  学院（盖章）：</t>
    </r>
    <r>
      <rPr>
        <u/>
        <sz val="12"/>
        <color theme="1"/>
        <rFont val="仿宋"/>
        <charset val="134"/>
      </rPr>
      <t xml:space="preserve">     智能媒体工程学院      </t>
    </r>
    <r>
      <rPr>
        <sz val="12"/>
        <color theme="1"/>
        <rFont val="仿宋"/>
        <charset val="134"/>
      </rPr>
      <t xml:space="preserve">   年级：</t>
    </r>
    <r>
      <rPr>
        <u/>
        <sz val="12"/>
        <color theme="1"/>
        <rFont val="仿宋"/>
        <charset val="134"/>
      </rPr>
      <t xml:space="preserve">  2023级 </t>
    </r>
    <r>
      <rPr>
        <u/>
        <sz val="12"/>
        <rFont val="仿宋"/>
        <charset val="134"/>
      </rPr>
      <t xml:space="preserve">   </t>
    </r>
    <r>
      <rPr>
        <sz val="12"/>
        <rFont val="仿宋"/>
        <charset val="134"/>
      </rPr>
      <t xml:space="preserve">   班级/专业：</t>
    </r>
    <r>
      <rPr>
        <u/>
        <sz val="12"/>
        <rFont val="仿宋"/>
        <charset val="134"/>
      </rPr>
      <t xml:space="preserve">   23智</t>
    </r>
    <r>
      <rPr>
        <u/>
        <sz val="12"/>
        <color theme="1"/>
        <rFont val="仿宋"/>
        <charset val="134"/>
      </rPr>
      <t xml:space="preserve">科2班    </t>
    </r>
    <r>
      <rPr>
        <sz val="12"/>
        <color theme="1"/>
        <rFont val="仿宋"/>
        <charset val="134"/>
      </rPr>
      <t xml:space="preserve"> 班级/专业总人数：</t>
    </r>
    <r>
      <rPr>
        <u/>
        <sz val="12"/>
        <color theme="1"/>
        <rFont val="仿宋"/>
        <charset val="134"/>
      </rPr>
      <t xml:space="preserve">   34     </t>
    </r>
  </si>
  <si>
    <t>20230817203</t>
  </si>
  <si>
    <t>钦勇硕</t>
  </si>
  <si>
    <t>20230817201</t>
  </si>
  <si>
    <t>刘如玲</t>
  </si>
  <si>
    <t>20230817214</t>
  </si>
  <si>
    <t>王尧</t>
  </si>
  <si>
    <t>20230817232</t>
  </si>
  <si>
    <t>张蓉</t>
  </si>
  <si>
    <t>20230817218</t>
  </si>
  <si>
    <t>吴行堆</t>
  </si>
  <si>
    <t>20230817212</t>
  </si>
  <si>
    <t>王欣</t>
  </si>
  <si>
    <t>20230817220</t>
  </si>
  <si>
    <t>许婧祎</t>
  </si>
  <si>
    <t>20230817234</t>
  </si>
  <si>
    <t>钟琦</t>
  </si>
  <si>
    <t>20230817230</t>
  </si>
  <si>
    <t>张超</t>
  </si>
  <si>
    <t>20230817236</t>
  </si>
  <si>
    <t>朱佳彦</t>
  </si>
  <si>
    <t>20230817237</t>
  </si>
  <si>
    <t>朱笑</t>
  </si>
  <si>
    <t>20230817238</t>
  </si>
  <si>
    <t>朱祐萱</t>
  </si>
  <si>
    <t>20230817208</t>
  </si>
  <si>
    <t>唐苏环</t>
  </si>
  <si>
    <t>20230817217</t>
  </si>
  <si>
    <t>魏辉</t>
  </si>
  <si>
    <t>20230817221</t>
  </si>
  <si>
    <t>徐文杰</t>
  </si>
  <si>
    <t>20230817233</t>
  </si>
  <si>
    <t>赵浩宇</t>
  </si>
  <si>
    <t>20230817211</t>
  </si>
  <si>
    <t>王鹏程</t>
  </si>
  <si>
    <t>20230817219</t>
  </si>
  <si>
    <t>许贵阳</t>
  </si>
  <si>
    <t>20230817227</t>
  </si>
  <si>
    <t>姚隽琦</t>
  </si>
  <si>
    <t>20230817225</t>
  </si>
  <si>
    <t>杨涛</t>
  </si>
  <si>
    <t>20230817207</t>
  </si>
  <si>
    <t>孙朱鹏</t>
  </si>
  <si>
    <t>20230817228</t>
  </si>
  <si>
    <t>姚玉玺</t>
  </si>
  <si>
    <t>20230817215</t>
  </si>
  <si>
    <t>王元杰</t>
  </si>
  <si>
    <t>20230817202</t>
  </si>
  <si>
    <t>马婧妍</t>
  </si>
  <si>
    <t>20230817223</t>
  </si>
  <si>
    <t>杨涵</t>
  </si>
  <si>
    <t>20230817205</t>
  </si>
  <si>
    <t>申思语</t>
  </si>
  <si>
    <t>20230817204</t>
  </si>
  <si>
    <t>沈乐怡</t>
  </si>
  <si>
    <t>20230817226</t>
  </si>
  <si>
    <t>杨耀辉</t>
  </si>
  <si>
    <t>20230817213</t>
  </si>
  <si>
    <t>汪亚楠</t>
  </si>
  <si>
    <t>20230817224</t>
  </si>
  <si>
    <t>杨健</t>
  </si>
  <si>
    <t>20230817206</t>
  </si>
  <si>
    <t>盛佳杰</t>
  </si>
  <si>
    <t>20230817229</t>
  </si>
  <si>
    <t>袁孔喆</t>
  </si>
  <si>
    <t>20230817216</t>
  </si>
  <si>
    <t>王子健</t>
  </si>
  <si>
    <t>20230817231</t>
  </si>
  <si>
    <t>张诚</t>
  </si>
  <si>
    <r>
      <t xml:space="preserve">  学院（盖章）：</t>
    </r>
    <r>
      <rPr>
        <u/>
        <sz val="12"/>
        <color rgb="FF000000"/>
        <rFont val="仿宋"/>
        <charset val="134"/>
      </rPr>
      <t xml:space="preserve"> 智能媒体工程学院  </t>
    </r>
    <r>
      <rPr>
        <sz val="12"/>
        <color rgb="FF000000"/>
        <rFont val="仿宋"/>
        <charset val="134"/>
      </rPr>
      <t xml:space="preserve">    年级：</t>
    </r>
    <r>
      <rPr>
        <u/>
        <sz val="12"/>
        <color rgb="FF000000"/>
        <rFont val="仿宋"/>
        <charset val="134"/>
      </rPr>
      <t xml:space="preserve"> 2023级  </t>
    </r>
    <r>
      <rPr>
        <sz val="12"/>
        <color rgb="FF000000"/>
        <rFont val="仿宋"/>
        <charset val="134"/>
      </rPr>
      <t xml:space="preserve">    班级/专业：</t>
    </r>
    <r>
      <rPr>
        <u/>
        <sz val="12"/>
        <color rgb="FF000000"/>
        <rFont val="仿宋"/>
        <charset val="134"/>
      </rPr>
      <t xml:space="preserve">  23数媒技术(专转本)1班  </t>
    </r>
    <r>
      <rPr>
        <sz val="12"/>
        <color rgb="FF000000"/>
        <rFont val="仿宋"/>
        <charset val="134"/>
      </rPr>
      <t>班级/专业总人数：</t>
    </r>
    <r>
      <rPr>
        <u/>
        <sz val="12"/>
        <color rgb="FF000000"/>
        <rFont val="仿宋"/>
        <charset val="134"/>
      </rPr>
      <t xml:space="preserve"> 34  </t>
    </r>
  </si>
  <si>
    <t>综合测评（R）
R=R1*30%+R2*70%++G-H</t>
  </si>
  <si>
    <t>Z202508070113</t>
  </si>
  <si>
    <t>朱妍</t>
  </si>
  <si>
    <t>82.53</t>
  </si>
  <si>
    <t>Z202508070104</t>
  </si>
  <si>
    <t>尹冰冰</t>
  </si>
  <si>
    <t>85.65</t>
  </si>
  <si>
    <t>Z202508070127</t>
  </si>
  <si>
    <t>陈欣妍</t>
  </si>
  <si>
    <t>86.35</t>
  </si>
  <si>
    <t>Z202508070130</t>
  </si>
  <si>
    <t>马源晨</t>
  </si>
  <si>
    <t>84.35</t>
  </si>
  <si>
    <t>Z202508070126</t>
  </si>
  <si>
    <t>柴雨欣</t>
  </si>
  <si>
    <t>85.12</t>
  </si>
  <si>
    <t>Z202508070133</t>
  </si>
  <si>
    <t>孙婧文</t>
  </si>
  <si>
    <t>80.29</t>
  </si>
  <si>
    <t>Z202508070136</t>
  </si>
  <si>
    <t>熊婷婷</t>
  </si>
  <si>
    <t>82.88</t>
  </si>
  <si>
    <t>Z202508070106</t>
  </si>
  <si>
    <t>张薇</t>
  </si>
  <si>
    <t>84.47</t>
  </si>
  <si>
    <t>Z202508070107</t>
  </si>
  <si>
    <t>张馨悦</t>
  </si>
  <si>
    <t>83.24</t>
  </si>
  <si>
    <t>Z202508070128</t>
  </si>
  <si>
    <t>季嘉怡</t>
  </si>
  <si>
    <t>Z202508070105</t>
  </si>
  <si>
    <t>袁周月</t>
  </si>
  <si>
    <t>82.12</t>
  </si>
  <si>
    <t>Z202508070137</t>
  </si>
  <si>
    <t>徐凯宇</t>
  </si>
  <si>
    <t>81.65</t>
  </si>
  <si>
    <t>Z202508070135</t>
  </si>
  <si>
    <t>武晓菲</t>
  </si>
  <si>
    <t>80.59</t>
  </si>
  <si>
    <t>Z202508070123</t>
  </si>
  <si>
    <t>杨广政</t>
  </si>
  <si>
    <t>Z202508070117</t>
  </si>
  <si>
    <t>王诚诺</t>
  </si>
  <si>
    <t>78.59</t>
  </si>
  <si>
    <t>Z202508070132</t>
  </si>
  <si>
    <t>齐之萌</t>
  </si>
  <si>
    <t>79.35</t>
  </si>
  <si>
    <t>Z202508070131</t>
  </si>
  <si>
    <t>白宇辰</t>
  </si>
  <si>
    <t>77.24</t>
  </si>
  <si>
    <t>Z202508070114</t>
  </si>
  <si>
    <t>马年昊</t>
  </si>
  <si>
    <t>77.71</t>
  </si>
  <si>
    <t>Z202508070129</t>
  </si>
  <si>
    <t>林颐然</t>
  </si>
  <si>
    <t>Z202508070124</t>
  </si>
  <si>
    <t>周星宇</t>
  </si>
  <si>
    <t>Z202508070111</t>
  </si>
  <si>
    <t>刘臻烨</t>
  </si>
  <si>
    <t>79.53</t>
  </si>
  <si>
    <t>Z202508070134</t>
  </si>
  <si>
    <t>王羽</t>
  </si>
  <si>
    <t>74.12</t>
  </si>
  <si>
    <t>Z202508070110</t>
  </si>
  <si>
    <t>李富成</t>
  </si>
  <si>
    <t>79.06</t>
  </si>
  <si>
    <t>Z202508070118</t>
  </si>
  <si>
    <t>王刚</t>
  </si>
  <si>
    <t>78.94</t>
  </si>
  <si>
    <t>Z202508070103</t>
  </si>
  <si>
    <t>徐一鸣</t>
  </si>
  <si>
    <t>74.53</t>
  </si>
  <si>
    <t>Z202508070109</t>
  </si>
  <si>
    <t>葛俊威</t>
  </si>
  <si>
    <t>80.18</t>
  </si>
  <si>
    <t>Z202508070119</t>
  </si>
  <si>
    <t>王裕恒</t>
  </si>
  <si>
    <t>78.24</t>
  </si>
  <si>
    <t>Z202508070116</t>
  </si>
  <si>
    <t>史博文</t>
  </si>
  <si>
    <t>74.47</t>
  </si>
  <si>
    <t>Z202508070122</t>
  </si>
  <si>
    <t>徐枫清</t>
  </si>
  <si>
    <t>73.94</t>
  </si>
  <si>
    <t>Z202508070102</t>
  </si>
  <si>
    <t>崔恒源</t>
  </si>
  <si>
    <t>73.76</t>
  </si>
  <si>
    <t>Z20230807122</t>
  </si>
  <si>
    <t>王飞</t>
  </si>
  <si>
    <t>73.59</t>
  </si>
  <si>
    <t>Z202508070108</t>
  </si>
  <si>
    <t>单家琦</t>
  </si>
  <si>
    <t>74.24</t>
  </si>
  <si>
    <t>Z202508070125</t>
  </si>
  <si>
    <t>庄苏凡</t>
  </si>
  <si>
    <t>73.00</t>
  </si>
  <si>
    <t>Z202508070121</t>
  </si>
  <si>
    <t>徐宸旭</t>
  </si>
  <si>
    <t>71.18</t>
  </si>
  <si>
    <r>
      <t xml:space="preserve">  学院（盖章）：</t>
    </r>
    <r>
      <rPr>
        <u/>
        <sz val="12"/>
        <color rgb="FF000000"/>
        <rFont val="仿宋"/>
        <charset val="134"/>
      </rPr>
      <t xml:space="preserve">  智能媒体工程学院 </t>
    </r>
    <r>
      <rPr>
        <sz val="12"/>
        <color rgb="FF000000"/>
        <rFont val="仿宋"/>
        <charset val="134"/>
      </rPr>
      <t xml:space="preserve"> 年级：</t>
    </r>
    <r>
      <rPr>
        <u/>
        <sz val="12"/>
        <color rgb="FF000000"/>
        <rFont val="仿宋"/>
        <charset val="134"/>
      </rPr>
      <t xml:space="preserve">   2023级  </t>
    </r>
    <r>
      <rPr>
        <sz val="12"/>
        <color rgb="FF000000"/>
        <rFont val="仿宋"/>
        <charset val="134"/>
      </rPr>
      <t xml:space="preserve"> 班级/专业：</t>
    </r>
    <r>
      <rPr>
        <u/>
        <sz val="12"/>
        <color rgb="FF000000"/>
        <rFont val="仿宋"/>
        <charset val="134"/>
      </rPr>
      <t xml:space="preserve">  23数媒体技术（专转本）2班  </t>
    </r>
    <r>
      <rPr>
        <sz val="12"/>
        <color rgb="FF000000"/>
        <rFont val="仿宋"/>
        <charset val="134"/>
      </rPr>
      <t>班级/专业总人数：</t>
    </r>
    <r>
      <rPr>
        <u/>
        <sz val="12"/>
        <color rgb="FF000000"/>
        <rFont val="仿宋"/>
        <charset val="134"/>
      </rPr>
      <t xml:space="preserve">34   </t>
    </r>
  </si>
  <si>
    <t>Z202508070235</t>
  </si>
  <si>
    <t>肖燚琳</t>
  </si>
  <si>
    <t>Z202508070231</t>
  </si>
  <si>
    <t>沈颖</t>
  </si>
  <si>
    <t>Z202508070234</t>
  </si>
  <si>
    <t>屠歆茼</t>
  </si>
  <si>
    <t>Z202508070226</t>
  </si>
  <si>
    <t>邓阳阳</t>
  </si>
  <si>
    <t>Z202508070205</t>
  </si>
  <si>
    <t>尤晨成</t>
  </si>
  <si>
    <t>Z202508070208</t>
  </si>
  <si>
    <t>耿鑫豪</t>
  </si>
  <si>
    <t>Z202508070230</t>
  </si>
  <si>
    <t>李贝</t>
  </si>
  <si>
    <t>Z202508070228</t>
  </si>
  <si>
    <t>胡子怡</t>
  </si>
  <si>
    <t>Z202508070233</t>
  </si>
  <si>
    <t>孙欣男</t>
  </si>
  <si>
    <t>Z202508070206</t>
  </si>
  <si>
    <t>张敏</t>
  </si>
  <si>
    <t>Z202508070222</t>
  </si>
  <si>
    <t>周西阳</t>
  </si>
  <si>
    <t>Z202508070210</t>
  </si>
  <si>
    <t>金奕霖</t>
  </si>
  <si>
    <t>Z202508070224</t>
  </si>
  <si>
    <t>陈倩</t>
  </si>
  <si>
    <t>Z202508070229</t>
  </si>
  <si>
    <t>李柏颖</t>
  </si>
  <si>
    <t>Z202508070225</t>
  </si>
  <si>
    <t>崔美轩</t>
  </si>
  <si>
    <t>Z202508070216</t>
  </si>
  <si>
    <t>汤润晨</t>
  </si>
  <si>
    <t>Z202508070215</t>
  </si>
  <si>
    <t>瞿友仕</t>
  </si>
  <si>
    <t>Z202508070202</t>
  </si>
  <si>
    <t>陈铠文</t>
  </si>
  <si>
    <t>Z202508070214</t>
  </si>
  <si>
    <t>周婷</t>
  </si>
  <si>
    <t>Z202508070237</t>
  </si>
  <si>
    <t>徐铃舒</t>
  </si>
  <si>
    <t>Z202508070209</t>
  </si>
  <si>
    <t>蒋伟杰</t>
  </si>
  <si>
    <t>Z202508070204</t>
  </si>
  <si>
    <t>许文渝</t>
  </si>
  <si>
    <t>Z202508070203</t>
  </si>
  <si>
    <t>徐宁</t>
  </si>
  <si>
    <t>Z202508070221</t>
  </si>
  <si>
    <t>周浩喆</t>
  </si>
  <si>
    <t>Z202508070207</t>
  </si>
  <si>
    <t>高天奇</t>
  </si>
  <si>
    <t>Z202508070212</t>
  </si>
  <si>
    <t>罗景</t>
  </si>
  <si>
    <t>Z202508070201</t>
  </si>
  <si>
    <t>吴佳宇</t>
  </si>
  <si>
    <t>Z202508070220</t>
  </si>
  <si>
    <t>张添佑</t>
  </si>
  <si>
    <t>Z202508070232</t>
  </si>
  <si>
    <t>宋庆华</t>
  </si>
  <si>
    <t>Z202508070219</t>
  </si>
  <si>
    <t>徐子达</t>
  </si>
  <si>
    <t>Z202508070213</t>
  </si>
  <si>
    <t>罗义翔</t>
  </si>
  <si>
    <t>Z202508070236</t>
  </si>
  <si>
    <t>陈福喜</t>
  </si>
  <si>
    <t>Z202508070211</t>
  </si>
  <si>
    <t>雷海涛</t>
  </si>
  <si>
    <t>Z202508070218</t>
  </si>
  <si>
    <t>巫天顺</t>
  </si>
  <si>
    <r>
      <rPr>
        <sz val="12"/>
        <color rgb="FF000000"/>
        <rFont val="仿宋"/>
        <charset val="134"/>
      </rPr>
      <t xml:space="preserve">  学院（盖章）：</t>
    </r>
    <r>
      <rPr>
        <u/>
        <sz val="12"/>
        <color rgb="FF000000"/>
        <rFont val="仿宋"/>
        <charset val="134"/>
      </rPr>
      <t xml:space="preserve">智能媒体工程学院 </t>
    </r>
    <r>
      <rPr>
        <sz val="12"/>
        <color rgb="FF000000"/>
        <rFont val="仿宋"/>
        <charset val="134"/>
      </rPr>
      <t xml:space="preserve">     年级：</t>
    </r>
    <r>
      <rPr>
        <u/>
        <sz val="12"/>
        <color rgb="FF000000"/>
        <rFont val="仿宋"/>
        <charset val="134"/>
      </rPr>
      <t xml:space="preserve">2023级 </t>
    </r>
    <r>
      <rPr>
        <sz val="12"/>
        <color rgb="FF000000"/>
        <rFont val="仿宋"/>
        <charset val="134"/>
      </rPr>
      <t xml:space="preserve">      班级/专业：</t>
    </r>
    <r>
      <rPr>
        <u/>
        <sz val="12"/>
        <color rgb="FF000000"/>
        <rFont val="仿宋"/>
        <charset val="134"/>
      </rPr>
      <t xml:space="preserve">23数媒技术（专转本）3班 </t>
    </r>
    <r>
      <rPr>
        <sz val="12"/>
        <color rgb="FF000000"/>
        <rFont val="仿宋"/>
        <charset val="134"/>
      </rPr>
      <t xml:space="preserve">       班级/专业总人数：</t>
    </r>
    <r>
      <rPr>
        <u/>
        <sz val="12"/>
        <color rgb="FF000000"/>
        <rFont val="仿宋"/>
        <charset val="134"/>
      </rPr>
      <t>34人</t>
    </r>
  </si>
  <si>
    <t>Z202508070306</t>
  </si>
  <si>
    <t>钟越</t>
  </si>
  <si>
    <t>Z202508070332</t>
  </si>
  <si>
    <t>汤念念</t>
  </si>
  <si>
    <t>Z202508070304</t>
  </si>
  <si>
    <t>耿文韬</t>
  </si>
  <si>
    <t>86.47</t>
  </si>
  <si>
    <t>Z202508070334</t>
  </si>
  <si>
    <t>谢星怡</t>
  </si>
  <si>
    <t>81.94</t>
  </si>
  <si>
    <t>Z202508070314</t>
  </si>
  <si>
    <t>徐金枘</t>
  </si>
  <si>
    <t>85.47</t>
  </si>
  <si>
    <t>Z202508070322</t>
  </si>
  <si>
    <t>顾郑洁</t>
  </si>
  <si>
    <t>79.47</t>
  </si>
  <si>
    <t>Z202508070337</t>
  </si>
  <si>
    <t>徐文萱</t>
  </si>
  <si>
    <t>84.12</t>
  </si>
  <si>
    <t>Z202508070328</t>
  </si>
  <si>
    <t>吕智慧</t>
  </si>
  <si>
    <t>83.29</t>
  </si>
  <si>
    <t>Z202508070303</t>
  </si>
  <si>
    <t>叶思彤</t>
  </si>
  <si>
    <t>Z202508070327</t>
  </si>
  <si>
    <t>刘昱</t>
  </si>
  <si>
    <t>82.00</t>
  </si>
  <si>
    <t>Z202508070308</t>
  </si>
  <si>
    <t>朱子怡</t>
  </si>
  <si>
    <t>Z202508070333</t>
  </si>
  <si>
    <t>王小萱</t>
  </si>
  <si>
    <t>79.76</t>
  </si>
  <si>
    <t>Z202508070325</t>
  </si>
  <si>
    <t>李彩芊</t>
  </si>
  <si>
    <t>Z202508070335</t>
  </si>
  <si>
    <t>曹康</t>
  </si>
  <si>
    <t>78.29</t>
  </si>
  <si>
    <t>Z202508070312</t>
  </si>
  <si>
    <t>孙青锦</t>
  </si>
  <si>
    <t>Z202508070336</t>
  </si>
  <si>
    <t>曾伟</t>
  </si>
  <si>
    <t>Z202508070311</t>
  </si>
  <si>
    <t>沈厚岱</t>
  </si>
  <si>
    <t>Z202508070326</t>
  </si>
  <si>
    <t>李鑫颖</t>
  </si>
  <si>
    <t>72.18</t>
  </si>
  <si>
    <t>Z202508070323</t>
  </si>
  <si>
    <t>姜丹</t>
  </si>
  <si>
    <t>83.76</t>
  </si>
  <si>
    <t>Z202508070315</t>
  </si>
  <si>
    <t>徐士杰</t>
  </si>
  <si>
    <t>Z202508070331</t>
  </si>
  <si>
    <t>申晨美</t>
  </si>
  <si>
    <t>79.12</t>
  </si>
  <si>
    <t>Z202508070324</t>
  </si>
  <si>
    <t>金依然</t>
  </si>
  <si>
    <t>78.12</t>
  </si>
  <si>
    <t>Z202508070302</t>
  </si>
  <si>
    <t>陈琦</t>
  </si>
  <si>
    <t>76.35</t>
  </si>
  <si>
    <t>Z202508070317</t>
  </si>
  <si>
    <t>杨毓琦</t>
  </si>
  <si>
    <t>76.76</t>
  </si>
  <si>
    <t>Z202508070309</t>
  </si>
  <si>
    <t>毛天奇</t>
  </si>
  <si>
    <t>73.24</t>
  </si>
  <si>
    <t>Z202508070320</t>
  </si>
  <si>
    <t>周纪昀</t>
  </si>
  <si>
    <t>Z202508070305</t>
  </si>
  <si>
    <t>胡植勋</t>
  </si>
  <si>
    <t>79.94</t>
  </si>
  <si>
    <t>Z202508070321</t>
  </si>
  <si>
    <t>周子涵</t>
  </si>
  <si>
    <t>70.88</t>
  </si>
  <si>
    <t>Z202508070310</t>
  </si>
  <si>
    <t>欧阳龙喜</t>
  </si>
  <si>
    <t>76.06</t>
  </si>
  <si>
    <t>Z202508070318</t>
  </si>
  <si>
    <t>赵家伟</t>
  </si>
  <si>
    <t>71.00</t>
  </si>
  <si>
    <t>Z202508070316</t>
  </si>
  <si>
    <t>严旭</t>
  </si>
  <si>
    <t>Z202508070313</t>
  </si>
  <si>
    <t>王天宇</t>
  </si>
  <si>
    <t>Z202508070301</t>
  </si>
  <si>
    <t>方正</t>
  </si>
  <si>
    <t>72.00</t>
  </si>
  <si>
    <t>Z202508070319</t>
  </si>
  <si>
    <t>赵明宇</t>
  </si>
  <si>
    <t>72.29</t>
  </si>
  <si>
    <r>
      <rPr>
        <sz val="12"/>
        <color rgb="FF000000"/>
        <rFont val="仿宋"/>
        <charset val="134"/>
      </rPr>
      <t xml:space="preserve">  学院（盖章）： </t>
    </r>
    <r>
      <rPr>
        <u/>
        <sz val="12"/>
        <color rgb="FF000000"/>
        <rFont val="仿宋"/>
        <charset val="134"/>
      </rPr>
      <t>智能媒体工程学院</t>
    </r>
    <r>
      <rPr>
        <sz val="12"/>
        <color rgb="FF000000"/>
        <rFont val="仿宋"/>
        <charset val="134"/>
      </rPr>
      <t xml:space="preserve"> 年级：</t>
    </r>
    <r>
      <rPr>
        <u/>
        <sz val="12"/>
        <color rgb="FF000000"/>
        <rFont val="仿宋"/>
        <charset val="134"/>
      </rPr>
      <t xml:space="preserve"> 2023级  </t>
    </r>
    <r>
      <rPr>
        <sz val="12"/>
        <color rgb="FF000000"/>
        <rFont val="仿宋"/>
        <charset val="134"/>
      </rPr>
      <t xml:space="preserve"> 班级/专业：</t>
    </r>
    <r>
      <rPr>
        <u/>
        <sz val="12"/>
        <color rgb="FF000000"/>
        <rFont val="仿宋"/>
        <charset val="134"/>
      </rPr>
      <t>23数媒技术（专转本）4班</t>
    </r>
    <r>
      <rPr>
        <sz val="12"/>
        <color rgb="FF000000"/>
        <rFont val="仿宋"/>
        <charset val="134"/>
      </rPr>
      <t xml:space="preserve">    班级/专业总人数：</t>
    </r>
    <r>
      <rPr>
        <u/>
        <sz val="12"/>
        <color rgb="FF000000"/>
        <rFont val="仿宋"/>
        <charset val="134"/>
      </rPr>
      <t xml:space="preserve"> 37    </t>
    </r>
  </si>
  <si>
    <t>Z202508070424</t>
  </si>
  <si>
    <t>胡梦娇</t>
  </si>
  <si>
    <t>86.24</t>
  </si>
  <si>
    <t>Z202508070403</t>
  </si>
  <si>
    <t>张秦菲</t>
  </si>
  <si>
    <t>️</t>
  </si>
  <si>
    <t>Z202508070434</t>
  </si>
  <si>
    <t>王熙杰</t>
  </si>
  <si>
    <t>82.59</t>
  </si>
  <si>
    <t>Z202508070404</t>
  </si>
  <si>
    <t>赵卫丹</t>
  </si>
  <si>
    <t>85.41</t>
  </si>
  <si>
    <t>Z202508070429</t>
  </si>
  <si>
    <t>李文欣</t>
  </si>
  <si>
    <t>84.65</t>
  </si>
  <si>
    <t>Z202508070433</t>
  </si>
  <si>
    <t>王梦羽</t>
  </si>
  <si>
    <t>83.53</t>
  </si>
  <si>
    <t>Z202508070430</t>
  </si>
  <si>
    <t>李云瑶</t>
  </si>
  <si>
    <t>83.47</t>
  </si>
  <si>
    <t>Z202508070427</t>
  </si>
  <si>
    <t>黄子晴</t>
  </si>
  <si>
    <t>Z202508070419</t>
  </si>
  <si>
    <t>颜凡翔</t>
  </si>
  <si>
    <t>79.59</t>
  </si>
  <si>
    <t>Z202508070431</t>
  </si>
  <si>
    <t>马凯雯</t>
  </si>
  <si>
    <t>82.06</t>
  </si>
  <si>
    <t>Z202508070401</t>
  </si>
  <si>
    <t>徐晨雨</t>
  </si>
  <si>
    <t>Z202508070423</t>
  </si>
  <si>
    <t>付梦雅</t>
  </si>
  <si>
    <t>80.94</t>
  </si>
  <si>
    <t>Z202508070411</t>
  </si>
  <si>
    <t>朱孙芩</t>
  </si>
  <si>
    <t>Z202508070405</t>
  </si>
  <si>
    <t>董浩</t>
  </si>
  <si>
    <t>Z202508070425</t>
  </si>
  <si>
    <t>黄思琦</t>
  </si>
  <si>
    <t>Z202508070435</t>
  </si>
  <si>
    <t>王宇力</t>
  </si>
  <si>
    <t>79.41</t>
  </si>
  <si>
    <t>Z202508070428</t>
  </si>
  <si>
    <t>李美洁</t>
  </si>
  <si>
    <t>78.65</t>
  </si>
  <si>
    <t>Z202508070426</t>
  </si>
  <si>
    <t>黄伊蕊</t>
  </si>
  <si>
    <t>77.41</t>
  </si>
  <si>
    <t>Z202508070413</t>
  </si>
  <si>
    <t>沈延昊</t>
  </si>
  <si>
    <t>Z202508070436</t>
  </si>
  <si>
    <t>曹凯惟</t>
  </si>
  <si>
    <t>Z202508070432</t>
  </si>
  <si>
    <t>茅怡</t>
  </si>
  <si>
    <t>77.29</t>
  </si>
  <si>
    <t>Z202508070408</t>
  </si>
  <si>
    <t>李伟</t>
  </si>
  <si>
    <t>77.12</t>
  </si>
  <si>
    <t>Z202508070438</t>
  </si>
  <si>
    <t>张彩虹</t>
  </si>
  <si>
    <t>Z202508070437</t>
  </si>
  <si>
    <t>陈盼盼</t>
  </si>
  <si>
    <t>75.47</t>
  </si>
  <si>
    <t>Z202508070402</t>
  </si>
  <si>
    <t>陈奕安</t>
  </si>
  <si>
    <t>Z202508070416</t>
  </si>
  <si>
    <t>吴小坤</t>
  </si>
  <si>
    <t>77.59</t>
  </si>
  <si>
    <t>Z202508070422</t>
  </si>
  <si>
    <t>章晟</t>
  </si>
  <si>
    <t>72.06</t>
  </si>
  <si>
    <t>Z202508070407</t>
  </si>
  <si>
    <t>蒋瑞嘉</t>
  </si>
  <si>
    <t>73.71</t>
  </si>
  <si>
    <t>Z202508070420</t>
  </si>
  <si>
    <t>杨畅</t>
  </si>
  <si>
    <t>71.59</t>
  </si>
  <si>
    <t>Z202508070410</t>
  </si>
  <si>
    <t>刘承志</t>
  </si>
  <si>
    <t>71.24</t>
  </si>
  <si>
    <t>Z202508070409</t>
  </si>
  <si>
    <t>李震</t>
  </si>
  <si>
    <t>71.82</t>
  </si>
  <si>
    <t>Z202508070421</t>
  </si>
  <si>
    <t>张恒博</t>
  </si>
  <si>
    <t>75.53</t>
  </si>
  <si>
    <t>Z202508070417</t>
  </si>
  <si>
    <t>吴子豪</t>
  </si>
  <si>
    <t>Z202508070414</t>
  </si>
  <si>
    <t>苏浩</t>
  </si>
  <si>
    <t>71.94</t>
  </si>
  <si>
    <t>Z202508070406</t>
  </si>
  <si>
    <t>方卓</t>
  </si>
  <si>
    <t>66.82</t>
  </si>
  <si>
    <t>Z202508070415</t>
  </si>
  <si>
    <t>孙兆隆</t>
  </si>
  <si>
    <t>69.41</t>
  </si>
  <si>
    <t>Z202508070418</t>
  </si>
  <si>
    <t>薛驭夫</t>
  </si>
  <si>
    <t>66.12</t>
  </si>
  <si>
    <r>
      <rPr>
        <sz val="12"/>
        <color rgb="FF000000"/>
        <rFont val="仿宋"/>
        <charset val="134"/>
      </rPr>
      <t xml:space="preserve">  学院（盖章）：</t>
    </r>
    <r>
      <rPr>
        <u/>
        <sz val="12"/>
        <color rgb="FF000000"/>
        <rFont val="仿宋"/>
        <charset val="134"/>
      </rPr>
      <t xml:space="preserve"> 智能媒体工程学院 </t>
    </r>
    <r>
      <rPr>
        <sz val="12"/>
        <color rgb="FF000000"/>
        <rFont val="仿宋"/>
        <charset val="134"/>
      </rPr>
      <t xml:space="preserve">   年级：</t>
    </r>
    <r>
      <rPr>
        <u/>
        <sz val="12"/>
        <color rgb="FF000000"/>
        <rFont val="仿宋"/>
        <charset val="134"/>
      </rPr>
      <t xml:space="preserve">   2023  </t>
    </r>
    <r>
      <rPr>
        <sz val="12"/>
        <color rgb="FF000000"/>
        <rFont val="仿宋"/>
        <charset val="134"/>
      </rPr>
      <t xml:space="preserve">      班级/专业：</t>
    </r>
    <r>
      <rPr>
        <u/>
        <sz val="12"/>
        <color rgb="FF000000"/>
        <rFont val="仿宋"/>
        <charset val="134"/>
      </rPr>
      <t xml:space="preserve">    23计科（专转本）1班    </t>
    </r>
    <r>
      <rPr>
        <sz val="12"/>
        <color rgb="FF000000"/>
        <rFont val="仿宋"/>
        <charset val="134"/>
      </rPr>
      <t>班级/专业总人数：</t>
    </r>
    <r>
      <rPr>
        <u/>
        <sz val="12"/>
        <color rgb="FF000000"/>
        <rFont val="仿宋"/>
        <charset val="134"/>
      </rPr>
      <t xml:space="preserve">  42     </t>
    </r>
  </si>
  <si>
    <t>Z202508090107</t>
  </si>
  <si>
    <t>张帅</t>
  </si>
  <si>
    <t>Z202508090134</t>
  </si>
  <si>
    <t>路子昊</t>
  </si>
  <si>
    <t>Z202508090104</t>
  </si>
  <si>
    <t>陈泽同</t>
  </si>
  <si>
    <t>Z202508090123</t>
  </si>
  <si>
    <t>徐亮</t>
  </si>
  <si>
    <t>Z202508090129</t>
  </si>
  <si>
    <t>高溢政</t>
  </si>
  <si>
    <t>Z202508090128</t>
  </si>
  <si>
    <t>杨凌</t>
  </si>
  <si>
    <t>Z202508090119</t>
  </si>
  <si>
    <t>林子燕</t>
  </si>
  <si>
    <t>Z202508090110</t>
  </si>
  <si>
    <t>许琳</t>
  </si>
  <si>
    <t>郑锴琦</t>
  </si>
  <si>
    <t>Z202508090111</t>
  </si>
  <si>
    <t>周亚鹏</t>
  </si>
  <si>
    <t>Z202508090137</t>
  </si>
  <si>
    <t>沈海涛</t>
  </si>
  <si>
    <t>Z202508090106</t>
  </si>
  <si>
    <t>杨琦</t>
  </si>
  <si>
    <t>Z202508090114</t>
  </si>
  <si>
    <t>刁振婕</t>
  </si>
  <si>
    <t>Z202508090116</t>
  </si>
  <si>
    <t>黄雨希</t>
  </si>
  <si>
    <t>Z202508090109</t>
  </si>
  <si>
    <t>张子威</t>
  </si>
  <si>
    <t>Z202508090135</t>
  </si>
  <si>
    <t>马守权</t>
  </si>
  <si>
    <t>Z202508090140</t>
  </si>
  <si>
    <t>汪佳欣</t>
  </si>
  <si>
    <t>Z202508090139</t>
  </si>
  <si>
    <t>宋文杰</t>
  </si>
  <si>
    <t>Z202508090141</t>
  </si>
  <si>
    <t>王建权</t>
  </si>
  <si>
    <t>Z202508090132</t>
  </si>
  <si>
    <t>刘志远</t>
  </si>
  <si>
    <t>Z202508090138</t>
  </si>
  <si>
    <t>时昊</t>
  </si>
  <si>
    <t>Z202508090117</t>
  </si>
  <si>
    <t>季雨萱</t>
  </si>
  <si>
    <t>Z202508090130</t>
  </si>
  <si>
    <t>张捷</t>
  </si>
  <si>
    <t>Z202508090113</t>
  </si>
  <si>
    <t>白菀菀</t>
  </si>
  <si>
    <t>Z202508090133</t>
  </si>
  <si>
    <t>鲁传杰</t>
  </si>
  <si>
    <t>Z202508090122</t>
  </si>
  <si>
    <t>陈宇</t>
  </si>
  <si>
    <t>Z202508090124</t>
  </si>
  <si>
    <t>党祈远</t>
  </si>
  <si>
    <t>Z202508090125</t>
  </si>
  <si>
    <t>孙美君</t>
  </si>
  <si>
    <t>Z202508090142</t>
  </si>
  <si>
    <t>王军傲</t>
  </si>
  <si>
    <t>Z202508090121</t>
  </si>
  <si>
    <t>陈勇胜</t>
  </si>
  <si>
    <t>Z202508090118</t>
  </si>
  <si>
    <t>李薇</t>
  </si>
  <si>
    <t>Z202508090103</t>
  </si>
  <si>
    <t>徐建罡</t>
  </si>
  <si>
    <t>Z202508090108</t>
  </si>
  <si>
    <t>张烨</t>
  </si>
  <si>
    <t>Z202508090102</t>
  </si>
  <si>
    <t>王培硕</t>
  </si>
  <si>
    <t>Z202508090105</t>
  </si>
  <si>
    <t>杨嘉辉</t>
  </si>
  <si>
    <t>Z202508090101</t>
  </si>
  <si>
    <t>王焱飞</t>
  </si>
  <si>
    <t>Z202508090126</t>
  </si>
  <si>
    <t>田甜</t>
  </si>
  <si>
    <t>Z202508090127</t>
  </si>
  <si>
    <t>蒋飞阳</t>
  </si>
  <si>
    <t>Z202508090120</t>
  </si>
  <si>
    <t>刘秋艳</t>
  </si>
  <si>
    <t>Z202508090143</t>
  </si>
  <si>
    <t>王元硕</t>
  </si>
  <si>
    <t>Z20240809124</t>
  </si>
  <si>
    <t>张玉祥</t>
  </si>
  <si>
    <t>Z202508090112</t>
  </si>
  <si>
    <t>禚越</t>
  </si>
  <si>
    <r>
      <rPr>
        <sz val="12"/>
        <color rgb="FF000000"/>
        <rFont val="仿宋"/>
        <charset val="134"/>
      </rPr>
      <t xml:space="preserve">  学院（盖章）：</t>
    </r>
    <r>
      <rPr>
        <u/>
        <sz val="12"/>
        <color rgb="FF000000"/>
        <rFont val="仿宋"/>
        <charset val="134"/>
      </rPr>
      <t xml:space="preserve"> 智能媒体工程学院 </t>
    </r>
    <r>
      <rPr>
        <sz val="12"/>
        <color rgb="FF000000"/>
        <rFont val="仿宋"/>
        <charset val="134"/>
      </rPr>
      <t xml:space="preserve">    年级：</t>
    </r>
    <r>
      <rPr>
        <u/>
        <sz val="12"/>
        <color rgb="FF000000"/>
        <rFont val="仿宋"/>
        <charset val="134"/>
      </rPr>
      <t xml:space="preserve"> 2023级 </t>
    </r>
    <r>
      <rPr>
        <sz val="12"/>
        <color rgb="FF000000"/>
        <rFont val="仿宋"/>
        <charset val="134"/>
      </rPr>
      <t xml:space="preserve">   班级/专业：</t>
    </r>
    <r>
      <rPr>
        <u/>
        <sz val="12"/>
        <color rgb="FF000000"/>
        <rFont val="仿宋"/>
        <charset val="134"/>
      </rPr>
      <t xml:space="preserve">23计科（专转本）2班 </t>
    </r>
    <r>
      <rPr>
        <sz val="12"/>
        <color rgb="FF000000"/>
        <rFont val="仿宋"/>
        <charset val="134"/>
      </rPr>
      <t xml:space="preserve">  班级/专业总人数：</t>
    </r>
    <r>
      <rPr>
        <u/>
        <sz val="12"/>
        <color rgb="FF000000"/>
        <rFont val="仿宋"/>
        <charset val="134"/>
      </rPr>
      <t xml:space="preserve">  41    </t>
    </r>
  </si>
  <si>
    <t>综合测评（R）
R=R1*30%+R2*70%+G-H</t>
  </si>
  <si>
    <t>Z202508090220</t>
  </si>
  <si>
    <t>胡文睿</t>
  </si>
  <si>
    <t>Z202508090216</t>
  </si>
  <si>
    <t>董洁</t>
  </si>
  <si>
    <t>Z202508090206</t>
  </si>
  <si>
    <t>徐皓</t>
  </si>
  <si>
    <t>Z202508090230</t>
  </si>
  <si>
    <t>张露</t>
  </si>
  <si>
    <t>Z202508090217</t>
  </si>
  <si>
    <t>曹学凯</t>
  </si>
  <si>
    <t>Z202508090244</t>
  </si>
  <si>
    <t>王滔</t>
  </si>
  <si>
    <t>Z202508090237</t>
  </si>
  <si>
    <t>张万语</t>
  </si>
  <si>
    <t>Z202508090221</t>
  </si>
  <si>
    <t>姜雨轩</t>
  </si>
  <si>
    <t>Z202508090238</t>
  </si>
  <si>
    <t>支想</t>
  </si>
  <si>
    <t>Z202508090204</t>
  </si>
  <si>
    <t>吴迪</t>
  </si>
  <si>
    <t>Z202508090236</t>
  </si>
  <si>
    <t>张梦雨</t>
  </si>
  <si>
    <t>Z202508090208</t>
  </si>
  <si>
    <t>许正</t>
  </si>
  <si>
    <t>Z202508090228</t>
  </si>
  <si>
    <t>闫瑾</t>
  </si>
  <si>
    <t>Z202508090202</t>
  </si>
  <si>
    <t>王兵</t>
  </si>
  <si>
    <t>Z202508090241</t>
  </si>
  <si>
    <t>祁恒旭</t>
  </si>
  <si>
    <t>Z202508090223</t>
  </si>
  <si>
    <t>樊祥豪</t>
  </si>
  <si>
    <t>Z202508090227</t>
  </si>
  <si>
    <t>黄嘉伟</t>
  </si>
  <si>
    <t>Z202508090205</t>
  </si>
  <si>
    <t>吴建强</t>
  </si>
  <si>
    <t>Z202508090229</t>
  </si>
  <si>
    <t>袁成慧</t>
  </si>
  <si>
    <t>Z202508090225</t>
  </si>
  <si>
    <t>陆雪荣</t>
  </si>
  <si>
    <t>Z202508090211</t>
  </si>
  <si>
    <t>杨宁</t>
  </si>
  <si>
    <t>Z202508090210</t>
  </si>
  <si>
    <t>严嘉昊</t>
  </si>
  <si>
    <t>Z202508090234</t>
  </si>
  <si>
    <t>马磊</t>
  </si>
  <si>
    <t>Z202508090215</t>
  </si>
  <si>
    <t>郑文植</t>
  </si>
  <si>
    <t>Z202508090226</t>
  </si>
  <si>
    <t>陶欣悦</t>
  </si>
  <si>
    <t>Z202508090218</t>
  </si>
  <si>
    <t>曾天纵</t>
  </si>
  <si>
    <t>Z202508090222</t>
  </si>
  <si>
    <t>廖梦玲</t>
  </si>
  <si>
    <t>Z202508090240</t>
  </si>
  <si>
    <t>周于涵</t>
  </si>
  <si>
    <t>Z202508090242</t>
  </si>
  <si>
    <t>钱炜</t>
  </si>
  <si>
    <t>Z202508090233</t>
  </si>
  <si>
    <t>刘通</t>
  </si>
  <si>
    <t>Z202508090224</t>
  </si>
  <si>
    <t>刘莹</t>
  </si>
  <si>
    <t>Z202508090214</t>
  </si>
  <si>
    <t>章天培</t>
  </si>
  <si>
    <t>Z202508090212</t>
  </si>
  <si>
    <t>张斌</t>
  </si>
  <si>
    <t>Z202508090207</t>
  </si>
  <si>
    <t>徐志雄</t>
  </si>
  <si>
    <t>Z202508090213</t>
  </si>
  <si>
    <t>张迎峰</t>
  </si>
  <si>
    <t>Z202508090203</t>
  </si>
  <si>
    <t>王智鹏</t>
  </si>
  <si>
    <t>Z202508090232</t>
  </si>
  <si>
    <t>刘荣鑫</t>
  </si>
  <si>
    <t>Z202508090239</t>
  </si>
  <si>
    <t>周颖</t>
  </si>
  <si>
    <t>Z202508090209</t>
  </si>
  <si>
    <t>闫鑫毅</t>
  </si>
  <si>
    <t>Z202508090235</t>
  </si>
  <si>
    <t>聂振杰</t>
  </si>
  <si>
    <t>Z202508090243</t>
  </si>
  <si>
    <t>唐瑞雨</t>
  </si>
  <si>
    <r>
      <rPr>
        <sz val="12"/>
        <color rgb="FF000000"/>
        <rFont val="仿宋"/>
        <charset val="134"/>
      </rPr>
      <t xml:space="preserve">  学院（盖章）：</t>
    </r>
    <r>
      <rPr>
        <u/>
        <sz val="12"/>
        <color rgb="FF000000"/>
        <rFont val="仿宋"/>
        <charset val="134"/>
      </rPr>
      <t xml:space="preserve"> 智能媒体工程学院 </t>
    </r>
    <r>
      <rPr>
        <sz val="12"/>
        <color rgb="FF000000"/>
        <rFont val="仿宋"/>
        <charset val="134"/>
      </rPr>
      <t xml:space="preserve">   年级：</t>
    </r>
    <r>
      <rPr>
        <u/>
        <sz val="12"/>
        <color rgb="FF000000"/>
        <rFont val="仿宋"/>
        <charset val="134"/>
      </rPr>
      <t xml:space="preserve">  2023级  </t>
    </r>
    <r>
      <rPr>
        <sz val="12"/>
        <color rgb="FF000000"/>
        <rFont val="仿宋"/>
        <charset val="134"/>
      </rPr>
      <t xml:space="preserve">  班级/专业：</t>
    </r>
    <r>
      <rPr>
        <u/>
        <sz val="12"/>
        <color rgb="FF000000"/>
        <rFont val="仿宋"/>
        <charset val="134"/>
      </rPr>
      <t xml:space="preserve">  23计科（专转本）3班  </t>
    </r>
    <r>
      <rPr>
        <sz val="12"/>
        <color rgb="FF000000"/>
        <rFont val="仿宋"/>
        <charset val="134"/>
      </rPr>
      <t xml:space="preserve">   班级/专业总人数：</t>
    </r>
    <r>
      <rPr>
        <u/>
        <sz val="12"/>
        <color rgb="FF000000"/>
        <rFont val="仿宋"/>
        <charset val="134"/>
      </rPr>
      <t xml:space="preserve">43   </t>
    </r>
  </si>
  <si>
    <t>Z202508090340</t>
  </si>
  <si>
    <t>孙剑炜</t>
  </si>
  <si>
    <t>83.87</t>
  </si>
  <si>
    <t>Z202508090332</t>
  </si>
  <si>
    <t>张金诺</t>
  </si>
  <si>
    <t>Z202508090336</t>
  </si>
  <si>
    <t>周心茹</t>
  </si>
  <si>
    <t>86.20</t>
  </si>
  <si>
    <t>Z202508090315</t>
  </si>
  <si>
    <t>费嘉欣</t>
  </si>
  <si>
    <t>85.40</t>
  </si>
  <si>
    <t>Z202508090317</t>
  </si>
  <si>
    <t>李建青</t>
  </si>
  <si>
    <t>86.87</t>
  </si>
  <si>
    <t>Z202508090331</t>
  </si>
  <si>
    <t>于清</t>
  </si>
  <si>
    <t>81.93</t>
  </si>
  <si>
    <t>Z202508090311</t>
  </si>
  <si>
    <t>朱文杰</t>
  </si>
  <si>
    <t>81.13</t>
  </si>
  <si>
    <t>Z202508090312</t>
  </si>
  <si>
    <t>蔡汶楷</t>
  </si>
  <si>
    <t>85.73</t>
  </si>
  <si>
    <t>Z202508090307</t>
  </si>
  <si>
    <t>杨文帅</t>
  </si>
  <si>
    <t>85.00</t>
  </si>
  <si>
    <t>Z202508090301</t>
  </si>
  <si>
    <t>胡玉莹</t>
  </si>
  <si>
    <t>80.47</t>
  </si>
  <si>
    <t>Z202508090323</t>
  </si>
  <si>
    <t>孙诗淇</t>
  </si>
  <si>
    <t>Z202508090337</t>
  </si>
  <si>
    <t>牛世豪</t>
  </si>
  <si>
    <t>82.20</t>
  </si>
  <si>
    <t>Z202508090324</t>
  </si>
  <si>
    <t>王恺怡</t>
  </si>
  <si>
    <t>81.20</t>
  </si>
  <si>
    <t>Z202508090304</t>
  </si>
  <si>
    <t>辛昌宇</t>
  </si>
  <si>
    <t>79.33</t>
  </si>
  <si>
    <t>Z202508090306</t>
  </si>
  <si>
    <t>闫伟康</t>
  </si>
  <si>
    <t>77.87</t>
  </si>
  <si>
    <t>Z202508090319</t>
  </si>
  <si>
    <t>董威威</t>
  </si>
  <si>
    <t>80.60</t>
  </si>
  <si>
    <t>Z202508090321</t>
  </si>
  <si>
    <t>高昌全</t>
  </si>
  <si>
    <t>80.33</t>
  </si>
  <si>
    <t>Z202508090339</t>
  </si>
  <si>
    <t>孙航</t>
  </si>
  <si>
    <t>Z202508090308</t>
  </si>
  <si>
    <t>俞丁豪</t>
  </si>
  <si>
    <t>Z202508090313</t>
  </si>
  <si>
    <t>畅宇晨</t>
  </si>
  <si>
    <t>78.40</t>
  </si>
  <si>
    <t>Z202508090326</t>
  </si>
  <si>
    <t>韩依航</t>
  </si>
  <si>
    <t>Z202508090316</t>
  </si>
  <si>
    <t>蒋操妍</t>
  </si>
  <si>
    <t>77.73</t>
  </si>
  <si>
    <t>Z202508090330</t>
  </si>
  <si>
    <t>李吉阳</t>
  </si>
  <si>
    <t>Z202508090320</t>
  </si>
  <si>
    <t>范毅</t>
  </si>
  <si>
    <t>78.13</t>
  </si>
  <si>
    <t>Z202508090343</t>
  </si>
  <si>
    <t>汪志伟</t>
  </si>
  <si>
    <t>77.47</t>
  </si>
  <si>
    <t>Z202508090302</t>
  </si>
  <si>
    <t>王建军</t>
  </si>
  <si>
    <t>Z202508090334</t>
  </si>
  <si>
    <t>聂雷</t>
  </si>
  <si>
    <t>76.60</t>
  </si>
  <si>
    <t>Z202508090328</t>
  </si>
  <si>
    <t>黄云龙</t>
  </si>
  <si>
    <t>76.80</t>
  </si>
  <si>
    <t>Z202508090327</t>
  </si>
  <si>
    <t>华雨阳</t>
  </si>
  <si>
    <t>76.67</t>
  </si>
  <si>
    <t>Z202508090310</t>
  </si>
  <si>
    <t>张晋豪</t>
  </si>
  <si>
    <t>Z202508090335</t>
  </si>
  <si>
    <t>赵钰</t>
  </si>
  <si>
    <t>Z202508090344</t>
  </si>
  <si>
    <t>吴琼</t>
  </si>
  <si>
    <t>74.87</t>
  </si>
  <si>
    <t>Z202508090314</t>
  </si>
  <si>
    <t>陈鹤中</t>
  </si>
  <si>
    <t>Z202508090303</t>
  </si>
  <si>
    <t>吴夏洋</t>
  </si>
  <si>
    <t>Z202508090305</t>
  </si>
  <si>
    <t>徐泽斌</t>
  </si>
  <si>
    <t>71.73</t>
  </si>
  <si>
    <t>Z202508090322</t>
  </si>
  <si>
    <t>桂步青</t>
  </si>
  <si>
    <t>77.07</t>
  </si>
  <si>
    <t>Z202508090329</t>
  </si>
  <si>
    <t>孔令飞</t>
  </si>
  <si>
    <t>Z202508090342</t>
  </si>
  <si>
    <t>汪浩然</t>
  </si>
  <si>
    <t>73.80</t>
  </si>
  <si>
    <t>Z202508090333</t>
  </si>
  <si>
    <t>柳志强</t>
  </si>
  <si>
    <t>Z202508090341</t>
  </si>
  <si>
    <t>孙逸晨</t>
  </si>
  <si>
    <t>70.60</t>
  </si>
  <si>
    <t>Z202508090338</t>
  </si>
  <si>
    <t>潘思远</t>
  </si>
  <si>
    <t>77.67</t>
  </si>
  <si>
    <t>Z202508090318</t>
  </si>
  <si>
    <t>仇均烨</t>
  </si>
  <si>
    <t>64.93</t>
  </si>
  <si>
    <t>Z202508090309</t>
  </si>
  <si>
    <t>郁张科</t>
  </si>
  <si>
    <t>71.53</t>
  </si>
  <si>
    <r>
      <rPr>
        <sz val="12"/>
        <color rgb="FF000000"/>
        <rFont val="仿宋"/>
        <charset val="134"/>
      </rPr>
      <t xml:space="preserve">  学院（盖章）：</t>
    </r>
    <r>
      <rPr>
        <u/>
        <sz val="12"/>
        <color rgb="FF000000"/>
        <rFont val="仿宋"/>
        <charset val="134"/>
      </rPr>
      <t xml:space="preserve">智能媒体工程学院 </t>
    </r>
    <r>
      <rPr>
        <sz val="12"/>
        <color rgb="FF000000"/>
        <rFont val="仿宋"/>
        <charset val="134"/>
      </rPr>
      <t>年级：</t>
    </r>
    <r>
      <rPr>
        <u/>
        <sz val="12"/>
        <color rgb="FF000000"/>
        <rFont val="仿宋"/>
        <charset val="134"/>
      </rPr>
      <t xml:space="preserve">  2023级  </t>
    </r>
    <r>
      <rPr>
        <sz val="12"/>
        <color rgb="FF000000"/>
        <rFont val="仿宋"/>
        <charset val="134"/>
      </rPr>
      <t xml:space="preserve">   班级： </t>
    </r>
    <r>
      <rPr>
        <u/>
        <sz val="12"/>
        <color rgb="FF000000"/>
        <rFont val="仿宋"/>
        <charset val="134"/>
      </rPr>
      <t xml:space="preserve"> 23计科（专转本）4班 </t>
    </r>
    <r>
      <rPr>
        <sz val="12"/>
        <color rgb="FF000000"/>
        <rFont val="仿宋"/>
        <charset val="134"/>
      </rPr>
      <t xml:space="preserve">        班级/专业总人数：</t>
    </r>
    <r>
      <rPr>
        <u/>
        <sz val="12"/>
        <color rgb="FF000000"/>
        <rFont val="仿宋"/>
        <charset val="134"/>
      </rPr>
      <t xml:space="preserve">  41   </t>
    </r>
  </si>
  <si>
    <t>Z202508090420</t>
  </si>
  <si>
    <t>倪郡如</t>
  </si>
  <si>
    <t>Z202508090407</t>
  </si>
  <si>
    <t>陈磊</t>
  </si>
  <si>
    <t>86.53</t>
  </si>
  <si>
    <t>Z202508090423</t>
  </si>
  <si>
    <t>田文静</t>
  </si>
  <si>
    <t>83.40</t>
  </si>
  <si>
    <t>Z202508090439</t>
  </si>
  <si>
    <t>赵星月</t>
  </si>
  <si>
    <t>87.80</t>
  </si>
  <si>
    <t>Z202508090443</t>
  </si>
  <si>
    <t>庄梦娇</t>
  </si>
  <si>
    <t>85.80</t>
  </si>
  <si>
    <t>Z202508090405</t>
  </si>
  <si>
    <t>张宇翔</t>
  </si>
  <si>
    <t>81.87</t>
  </si>
  <si>
    <t>Z202508090409</t>
  </si>
  <si>
    <t>陈俊安</t>
  </si>
  <si>
    <t>Z202508090444</t>
  </si>
  <si>
    <t>杨锦峰</t>
  </si>
  <si>
    <t>Z202508090435</t>
  </si>
  <si>
    <t>林琛耀</t>
  </si>
  <si>
    <t>82.80</t>
  </si>
  <si>
    <t>Z202508090433</t>
  </si>
  <si>
    <t>杨逸轩</t>
  </si>
  <si>
    <t>83.33</t>
  </si>
  <si>
    <t>Z202508090411</t>
  </si>
  <si>
    <t>李思雅</t>
  </si>
  <si>
    <t>79.87</t>
  </si>
  <si>
    <t>Z202508090427</t>
  </si>
  <si>
    <t>江佳乐</t>
  </si>
  <si>
    <t>Z202508090441</t>
  </si>
  <si>
    <t>周滢</t>
  </si>
  <si>
    <t>84.33</t>
  </si>
  <si>
    <t>Z202508090410</t>
  </si>
  <si>
    <t>郝思嘉</t>
  </si>
  <si>
    <t>Z202508090402</t>
  </si>
  <si>
    <t>潘弘翔</t>
  </si>
  <si>
    <t>Z202508090442</t>
  </si>
  <si>
    <t>朱新瑶</t>
  </si>
  <si>
    <t>Z202508090413</t>
  </si>
  <si>
    <t>陈鑫杰</t>
  </si>
  <si>
    <t>83.07</t>
  </si>
  <si>
    <t>Z202508090431</t>
  </si>
  <si>
    <t>李俊墺</t>
  </si>
  <si>
    <t>82.60</t>
  </si>
  <si>
    <t>Z202508090437</t>
  </si>
  <si>
    <t>陆一</t>
  </si>
  <si>
    <t>Z202508090440</t>
  </si>
  <si>
    <t>赵瑜</t>
  </si>
  <si>
    <t>86.00</t>
  </si>
  <si>
    <t>Z202508090438</t>
  </si>
  <si>
    <t>缪焌文</t>
  </si>
  <si>
    <t>81.07</t>
  </si>
  <si>
    <t>Z202508090430</t>
  </si>
  <si>
    <t>李钧涛</t>
  </si>
  <si>
    <t>Z202508090401</t>
  </si>
  <si>
    <t>韦星宇</t>
  </si>
  <si>
    <t>81.47</t>
  </si>
  <si>
    <t>Z202508090422</t>
  </si>
  <si>
    <t>申淑卉</t>
  </si>
  <si>
    <t>77.40</t>
  </si>
  <si>
    <t>Z202508090412</t>
  </si>
  <si>
    <t>廖欣怡</t>
  </si>
  <si>
    <t>80.40</t>
  </si>
  <si>
    <t>Z202508090432</t>
  </si>
  <si>
    <t>许圆璐</t>
  </si>
  <si>
    <t>Z202508090408</t>
  </si>
  <si>
    <t>曾建安</t>
  </si>
  <si>
    <t>Z202508090436</t>
  </si>
  <si>
    <t>刘杰</t>
  </si>
  <si>
    <t>Z202508090425</t>
  </si>
  <si>
    <t>徐嘉仪</t>
  </si>
  <si>
    <t>Z202508090416</t>
  </si>
  <si>
    <t>辜高林</t>
  </si>
  <si>
    <t>76.07</t>
  </si>
  <si>
    <t>Z202508090434</t>
  </si>
  <si>
    <t>臧梦雨</t>
  </si>
  <si>
    <t>77.93</t>
  </si>
  <si>
    <t>Z202508090414</t>
  </si>
  <si>
    <t>陈郑</t>
  </si>
  <si>
    <t>75.33</t>
  </si>
  <si>
    <t>Z202508090429</t>
  </si>
  <si>
    <t>蒋朱杰</t>
  </si>
  <si>
    <t>74.80</t>
  </si>
  <si>
    <t>Z202508090426</t>
  </si>
  <si>
    <t>黄旭</t>
  </si>
  <si>
    <t>71.93</t>
  </si>
  <si>
    <t>Z202508090418</t>
  </si>
  <si>
    <t>顾欣</t>
  </si>
  <si>
    <t>78.87</t>
  </si>
  <si>
    <t>Z202508090417</t>
  </si>
  <si>
    <t>顾天铖</t>
  </si>
  <si>
    <t>75.80</t>
  </si>
  <si>
    <t>Z202508090424</t>
  </si>
  <si>
    <t>武沙沙</t>
  </si>
  <si>
    <t>72.67</t>
  </si>
  <si>
    <t>Z202508090415</t>
  </si>
  <si>
    <t>高子阳</t>
  </si>
  <si>
    <t>71.40</t>
  </si>
  <si>
    <t>Z202508090428</t>
  </si>
  <si>
    <t>蒋宏元</t>
  </si>
  <si>
    <t>72.27</t>
  </si>
  <si>
    <t>Z202508090404</t>
  </si>
  <si>
    <t>张瀚文</t>
  </si>
  <si>
    <t>77.20</t>
  </si>
  <si>
    <t>Z202508090403</t>
  </si>
  <si>
    <t>姚欣余</t>
  </si>
  <si>
    <t>75.00</t>
  </si>
  <si>
    <r>
      <t xml:space="preserve">  学院（盖章）：</t>
    </r>
    <r>
      <rPr>
        <u/>
        <sz val="12"/>
        <color rgb="FF000000"/>
        <rFont val="仿宋"/>
        <charset val="134"/>
      </rPr>
      <t xml:space="preserve">智能媒体工程学院  </t>
    </r>
    <r>
      <rPr>
        <sz val="12"/>
        <color rgb="FF000000"/>
        <rFont val="仿宋"/>
        <charset val="134"/>
      </rPr>
      <t xml:space="preserve">      年级：</t>
    </r>
    <r>
      <rPr>
        <u/>
        <sz val="12"/>
        <color rgb="FF000000"/>
        <rFont val="仿宋"/>
        <charset val="134"/>
      </rPr>
      <t xml:space="preserve">2023级 </t>
    </r>
    <r>
      <rPr>
        <sz val="12"/>
        <color rgb="FF000000"/>
        <rFont val="仿宋"/>
        <charset val="134"/>
      </rPr>
      <t xml:space="preserve">     班级/专业：</t>
    </r>
    <r>
      <rPr>
        <u/>
        <sz val="12"/>
        <color rgb="FF000000"/>
        <rFont val="仿宋"/>
        <charset val="134"/>
      </rPr>
      <t xml:space="preserve">23计科（专转本）5班 </t>
    </r>
    <r>
      <rPr>
        <sz val="12"/>
        <color rgb="FF000000"/>
        <rFont val="仿宋"/>
        <charset val="134"/>
      </rPr>
      <t xml:space="preserve"> 班级/专业总人数：</t>
    </r>
    <r>
      <rPr>
        <u/>
        <sz val="12"/>
        <color rgb="FF000000"/>
        <rFont val="仿宋"/>
        <charset val="134"/>
      </rPr>
      <t xml:space="preserve">43   </t>
    </r>
  </si>
  <si>
    <t>Z202508090528</t>
  </si>
  <si>
    <t>金宁波</t>
  </si>
  <si>
    <t>Z202508090504</t>
  </si>
  <si>
    <t>许李</t>
  </si>
  <si>
    <t>Z202508090517</t>
  </si>
  <si>
    <t>李邵唯</t>
  </si>
  <si>
    <t>Z202508090536</t>
  </si>
  <si>
    <t>周高霞</t>
  </si>
  <si>
    <t>Z202508090521</t>
  </si>
  <si>
    <t>刘欣蕊</t>
  </si>
  <si>
    <t>Z202508090534</t>
  </si>
  <si>
    <t>赵焰如</t>
  </si>
  <si>
    <t>Z202508090527</t>
  </si>
  <si>
    <t>金谷伦</t>
  </si>
  <si>
    <t>Z202508090507</t>
  </si>
  <si>
    <t>袁坤尧</t>
  </si>
  <si>
    <t>Z202508090508</t>
  </si>
  <si>
    <t>原志国</t>
  </si>
  <si>
    <t>Z202508090503</t>
  </si>
  <si>
    <t>徐宇涵</t>
  </si>
  <si>
    <t>Z202508090523</t>
  </si>
  <si>
    <t>王卓</t>
  </si>
  <si>
    <t>Z202508090518</t>
  </si>
  <si>
    <t>程俊豪</t>
  </si>
  <si>
    <t>Z202508090516</t>
  </si>
  <si>
    <t>乐逸哲</t>
  </si>
  <si>
    <t>Z202508090522</t>
  </si>
  <si>
    <t>马文欣</t>
  </si>
  <si>
    <t>Z202508090519</t>
  </si>
  <si>
    <t>党锦烙</t>
  </si>
  <si>
    <t>Z202508090510</t>
  </si>
  <si>
    <t>张杰</t>
  </si>
  <si>
    <t>Z202508090537</t>
  </si>
  <si>
    <t>周桓溪</t>
  </si>
  <si>
    <t>Z202508090538</t>
  </si>
  <si>
    <t>朱雨涵</t>
  </si>
  <si>
    <t>Z202508090539</t>
  </si>
  <si>
    <t>邹玉洁</t>
  </si>
  <si>
    <t>Z202508090514</t>
  </si>
  <si>
    <t>陈晓栋</t>
  </si>
  <si>
    <t>Z202508090512</t>
  </si>
  <si>
    <t>曾宏伟</t>
  </si>
  <si>
    <t>Z202508090532</t>
  </si>
  <si>
    <t>刘福斌</t>
  </si>
  <si>
    <t>Z202508090524</t>
  </si>
  <si>
    <t>熊蕊</t>
  </si>
  <si>
    <t>Z202508090526</t>
  </si>
  <si>
    <t>焦伟霜</t>
  </si>
  <si>
    <t>Z202508090529</t>
  </si>
  <si>
    <t>李东升</t>
  </si>
  <si>
    <t>Z202508090511</t>
  </si>
  <si>
    <t>张一帆</t>
  </si>
  <si>
    <t>Z202508090535</t>
  </si>
  <si>
    <t>郑文静</t>
  </si>
  <si>
    <t>Z202508090502</t>
  </si>
  <si>
    <t>陶鹏程</t>
  </si>
  <si>
    <t>Z202508090531</t>
  </si>
  <si>
    <t>张梦婷</t>
  </si>
  <si>
    <t>Z202508090520</t>
  </si>
  <si>
    <t>丁开盛</t>
  </si>
  <si>
    <t>Z202508090525</t>
  </si>
  <si>
    <t>胡骏杰</t>
  </si>
  <si>
    <t>Z202508090505</t>
  </si>
  <si>
    <t>闫鑫</t>
  </si>
  <si>
    <t>Z202508090542</t>
  </si>
  <si>
    <t>宋汶斋</t>
  </si>
  <si>
    <t>Z202508090533</t>
  </si>
  <si>
    <t>刘文东</t>
  </si>
  <si>
    <t>Z202508090513</t>
  </si>
  <si>
    <t>陈钱</t>
  </si>
  <si>
    <t>Z202508090509</t>
  </si>
  <si>
    <t>张鹤腾</t>
  </si>
  <si>
    <t>Z202508090540</t>
  </si>
  <si>
    <t>沈帅</t>
  </si>
  <si>
    <t>Z202508090506</t>
  </si>
  <si>
    <t>杨鸿凯</t>
  </si>
  <si>
    <t>Z202508090544</t>
  </si>
  <si>
    <t>王贻嘉</t>
  </si>
  <si>
    <t>Z202508090541</t>
  </si>
  <si>
    <t>石新旺</t>
  </si>
  <si>
    <t>Z202508090515</t>
  </si>
  <si>
    <t>郭紫琼</t>
  </si>
  <si>
    <t>Z202508090543</t>
  </si>
  <si>
    <t>唐浩源</t>
  </si>
  <si>
    <t>Z202508090501</t>
  </si>
  <si>
    <t>王尧瑄</t>
  </si>
  <si>
    <r>
      <t xml:space="preserve">  学院（盖章）：</t>
    </r>
    <r>
      <rPr>
        <u/>
        <sz val="12"/>
        <color rgb="FF000000"/>
        <rFont val="仿宋"/>
        <charset val="134"/>
      </rPr>
      <t xml:space="preserve"> 智能媒体工程学院 </t>
    </r>
    <r>
      <rPr>
        <sz val="12"/>
        <color rgb="FF000000"/>
        <rFont val="仿宋"/>
        <charset val="134"/>
      </rPr>
      <t xml:space="preserve">  年级：</t>
    </r>
    <r>
      <rPr>
        <u/>
        <sz val="12"/>
        <color rgb="FF000000"/>
        <rFont val="仿宋"/>
        <charset val="134"/>
      </rPr>
      <t xml:space="preserve">  2023级 </t>
    </r>
    <r>
      <rPr>
        <sz val="12"/>
        <color rgb="FF000000"/>
        <rFont val="仿宋"/>
        <charset val="134"/>
      </rPr>
      <t xml:space="preserve">  班级/专业：</t>
    </r>
    <r>
      <rPr>
        <u/>
        <sz val="12"/>
        <color rgb="FF000000"/>
        <rFont val="仿宋"/>
        <charset val="134"/>
      </rPr>
      <t xml:space="preserve">   23计科（专转本）6班   </t>
    </r>
    <r>
      <rPr>
        <sz val="12"/>
        <color rgb="FF000000"/>
        <rFont val="仿宋"/>
        <charset val="134"/>
      </rPr>
      <t xml:space="preserve">    班级/专业总人数：</t>
    </r>
    <r>
      <rPr>
        <u/>
        <sz val="12"/>
        <color rgb="FF000000"/>
        <rFont val="仿宋"/>
        <charset val="134"/>
      </rPr>
      <t xml:space="preserve"> 23    </t>
    </r>
  </si>
  <si>
    <t>Z202508090624</t>
  </si>
  <si>
    <t>高思劼</t>
  </si>
  <si>
    <t>85.60</t>
  </si>
  <si>
    <t>Z202508090607</t>
  </si>
  <si>
    <t>王小龙</t>
  </si>
  <si>
    <t>84.67</t>
  </si>
  <si>
    <t>Z202508090614</t>
  </si>
  <si>
    <t>阿力木江·阿不力孜</t>
  </si>
  <si>
    <t>84.73</t>
  </si>
  <si>
    <t>Z202508090601</t>
  </si>
  <si>
    <t>李谨佑</t>
  </si>
  <si>
    <t>82.07</t>
  </si>
  <si>
    <t>Z202508090613</t>
  </si>
  <si>
    <t>朱紫阳</t>
  </si>
  <si>
    <t>81.60</t>
  </si>
  <si>
    <t>Z202508090630</t>
  </si>
  <si>
    <t>孟琳杰</t>
  </si>
  <si>
    <t>Z202508090623</t>
  </si>
  <si>
    <t>邓逸飞</t>
  </si>
  <si>
    <t>79.60</t>
  </si>
  <si>
    <t>Z202508090619</t>
  </si>
  <si>
    <t>陈文超</t>
  </si>
  <si>
    <t>Z202508090608</t>
  </si>
  <si>
    <t>王逸枫</t>
  </si>
  <si>
    <t>Z202508090611</t>
  </si>
  <si>
    <t>周文豪</t>
  </si>
  <si>
    <t>80.13</t>
  </si>
  <si>
    <t>Z202508090615</t>
  </si>
  <si>
    <t>蔡昕冉</t>
  </si>
  <si>
    <t>78.27</t>
  </si>
  <si>
    <t>Z202508090606</t>
  </si>
  <si>
    <t>王骁</t>
  </si>
  <si>
    <t>81.80</t>
  </si>
  <si>
    <t>Z202508090622</t>
  </si>
  <si>
    <t>戴继承</t>
  </si>
  <si>
    <t>72.93</t>
  </si>
  <si>
    <t>Z202508090628</t>
  </si>
  <si>
    <t>韩梓鑫</t>
  </si>
  <si>
    <t>76.93</t>
  </si>
  <si>
    <t>Z202508090616</t>
  </si>
  <si>
    <t>蔡震澍</t>
  </si>
  <si>
    <t>Z202508090629</t>
  </si>
  <si>
    <t>侯佳良</t>
  </si>
  <si>
    <t>80.73</t>
  </si>
  <si>
    <t>Z202508090605</t>
  </si>
  <si>
    <t>陶乐洋</t>
  </si>
  <si>
    <t>Z202508090617</t>
  </si>
  <si>
    <t>操柯</t>
  </si>
  <si>
    <t>77.60</t>
  </si>
  <si>
    <t>Z202508090610</t>
  </si>
  <si>
    <t>赵计</t>
  </si>
  <si>
    <t>76.20</t>
  </si>
  <si>
    <t>Z202508090609</t>
  </si>
  <si>
    <t>张佳豪</t>
  </si>
  <si>
    <t>81.27</t>
  </si>
  <si>
    <t>Z202508090621</t>
  </si>
  <si>
    <t>程红源</t>
  </si>
  <si>
    <t>67.67</t>
  </si>
  <si>
    <t>Z202508090620</t>
  </si>
  <si>
    <t>陈阳</t>
  </si>
  <si>
    <t>70.93</t>
  </si>
  <si>
    <t>Z202508090603</t>
  </si>
  <si>
    <t>宋新宇</t>
  </si>
  <si>
    <t>63.33</t>
  </si>
  <si>
    <r>
      <t xml:space="preserve">  学院（盖章）：</t>
    </r>
    <r>
      <rPr>
        <u/>
        <sz val="12"/>
        <color rgb="FF000000"/>
        <rFont val="仿宋"/>
        <charset val="134"/>
      </rPr>
      <t xml:space="preserve"> 智能媒体工程学院 </t>
    </r>
    <r>
      <rPr>
        <sz val="12"/>
        <color rgb="FF000000"/>
        <rFont val="仿宋"/>
        <charset val="134"/>
      </rPr>
      <t xml:space="preserve">  年级：</t>
    </r>
    <r>
      <rPr>
        <u/>
        <sz val="12"/>
        <color rgb="FF000000"/>
        <rFont val="仿宋"/>
        <charset val="134"/>
      </rPr>
      <t xml:space="preserve">  2023级  </t>
    </r>
    <r>
      <rPr>
        <sz val="12"/>
        <color rgb="FF000000"/>
        <rFont val="仿宋"/>
        <charset val="134"/>
      </rPr>
      <t xml:space="preserve">  班级/专业：</t>
    </r>
    <r>
      <rPr>
        <u/>
        <sz val="12"/>
        <color rgb="FF000000"/>
        <rFont val="仿宋"/>
        <charset val="134"/>
      </rPr>
      <t xml:space="preserve">  23计科（3+2）1班   </t>
    </r>
    <r>
      <rPr>
        <sz val="12"/>
        <color rgb="FF000000"/>
        <rFont val="仿宋"/>
        <charset val="134"/>
      </rPr>
      <t xml:space="preserve">     班级/专业总人数：</t>
    </r>
    <r>
      <rPr>
        <u/>
        <sz val="12"/>
        <color rgb="FF000000"/>
        <rFont val="仿宋"/>
        <charset val="134"/>
      </rPr>
      <t xml:space="preserve">  41     </t>
    </r>
  </si>
  <si>
    <t>D202508200114</t>
  </si>
  <si>
    <t>秦孟泽</t>
  </si>
  <si>
    <t>D202508200110</t>
  </si>
  <si>
    <t>吕文龙</t>
  </si>
  <si>
    <t>D202508200135</t>
  </si>
  <si>
    <t>王梅玫</t>
  </si>
  <si>
    <t>D202508200143</t>
  </si>
  <si>
    <t>陈昊</t>
  </si>
  <si>
    <t>D202508200123</t>
  </si>
  <si>
    <t>张玉泉</t>
  </si>
  <si>
    <t>D202508200107</t>
  </si>
  <si>
    <t>李阳杰</t>
  </si>
  <si>
    <t>D202508200127</t>
  </si>
  <si>
    <t>窦婉心</t>
  </si>
  <si>
    <t>D202508200133</t>
  </si>
  <si>
    <t>史静雯</t>
  </si>
  <si>
    <t>徐淮阳</t>
  </si>
  <si>
    <t>D202508200118</t>
  </si>
  <si>
    <t>王昱博</t>
  </si>
  <si>
    <t>D202508200132</t>
  </si>
  <si>
    <t>梅珂</t>
  </si>
  <si>
    <t>D202508200130</t>
  </si>
  <si>
    <t>卢雅琴</t>
  </si>
  <si>
    <t>D202508200105</t>
  </si>
  <si>
    <t>范思成</t>
  </si>
  <si>
    <t>D202508200141</t>
  </si>
  <si>
    <t>张蓝天</t>
  </si>
  <si>
    <t>D202508200102</t>
  </si>
  <si>
    <t>张子涵</t>
  </si>
  <si>
    <t>D202508200136</t>
  </si>
  <si>
    <t>王雅楠</t>
  </si>
  <si>
    <t>D202508200128</t>
  </si>
  <si>
    <t>李爱嘉</t>
  </si>
  <si>
    <t>D202508200117</t>
  </si>
  <si>
    <t>王前锦</t>
  </si>
  <si>
    <t>D202508200116</t>
  </si>
  <si>
    <t>侍承屿</t>
  </si>
  <si>
    <t>D202508200129</t>
  </si>
  <si>
    <t>李超辉</t>
  </si>
  <si>
    <t>D202508200138</t>
  </si>
  <si>
    <t>徐妍</t>
  </si>
  <si>
    <t>D202508200113</t>
  </si>
  <si>
    <t>秦晋</t>
  </si>
  <si>
    <t>D202508200131</t>
  </si>
  <si>
    <t>马淑琴</t>
  </si>
  <si>
    <t>D202508200103</t>
  </si>
  <si>
    <t>陈星屹</t>
  </si>
  <si>
    <t>D202508200111</t>
  </si>
  <si>
    <t>齐骏涛</t>
  </si>
  <si>
    <t>D202508200101</t>
  </si>
  <si>
    <t>蔡宇晨</t>
  </si>
  <si>
    <t>D202508200108</t>
  </si>
  <si>
    <t>林鑫芊</t>
  </si>
  <si>
    <t>D202508200109</t>
  </si>
  <si>
    <t>刘畅</t>
  </si>
  <si>
    <t>D202508200134</t>
  </si>
  <si>
    <t>王楚韵</t>
  </si>
  <si>
    <t>D202508200120</t>
  </si>
  <si>
    <t>杨欢</t>
  </si>
  <si>
    <t>D202508200115</t>
  </si>
  <si>
    <t>秦延</t>
  </si>
  <si>
    <t>D202508200106</t>
  </si>
  <si>
    <t>李东航</t>
  </si>
  <si>
    <t>D202508200137</t>
  </si>
  <si>
    <t>王悦琪</t>
  </si>
  <si>
    <t>D202508200122</t>
  </si>
  <si>
    <t>游邦杰</t>
  </si>
  <si>
    <t>D202508200121</t>
  </si>
  <si>
    <t>叶永清</t>
  </si>
  <si>
    <t>D202508200125</t>
  </si>
  <si>
    <t>左一博</t>
  </si>
  <si>
    <t>D202508200124</t>
  </si>
  <si>
    <t>周鑫</t>
  </si>
  <si>
    <t>D202508200104</t>
  </si>
  <si>
    <t>杜汶峰</t>
  </si>
  <si>
    <t>D202508200142</t>
  </si>
  <si>
    <t>张钰婷</t>
  </si>
  <si>
    <t>D202508200112</t>
  </si>
  <si>
    <t>钱铨</t>
  </si>
  <si>
    <t>D202508200126</t>
  </si>
  <si>
    <t>丁钰芩</t>
  </si>
  <si>
    <r>
      <rPr>
        <sz val="12"/>
        <color rgb="FF000000"/>
        <rFont val="仿宋"/>
        <charset val="134"/>
      </rPr>
      <t xml:space="preserve">  学院（盖章）：</t>
    </r>
    <r>
      <rPr>
        <u/>
        <sz val="12"/>
        <color rgb="FF000000"/>
        <rFont val="仿宋"/>
        <charset val="134"/>
      </rPr>
      <t xml:space="preserve">   智能媒体工程学院    </t>
    </r>
    <r>
      <rPr>
        <sz val="12"/>
        <color rgb="FF000000"/>
        <rFont val="仿宋"/>
        <charset val="134"/>
      </rPr>
      <t xml:space="preserve">  年级：</t>
    </r>
    <r>
      <rPr>
        <u/>
        <sz val="12"/>
        <color rgb="FF000000"/>
        <rFont val="仿宋"/>
        <charset val="134"/>
      </rPr>
      <t xml:space="preserve">  2023级  </t>
    </r>
    <r>
      <rPr>
        <sz val="12"/>
        <color rgb="FF000000"/>
        <rFont val="仿宋"/>
        <charset val="134"/>
      </rPr>
      <t xml:space="preserve">  班级/专业：</t>
    </r>
    <r>
      <rPr>
        <u/>
        <sz val="12"/>
        <color rgb="FF000000"/>
        <rFont val="仿宋"/>
        <charset val="134"/>
      </rPr>
      <t xml:space="preserve"> 23计科（3+2）2班 </t>
    </r>
    <r>
      <rPr>
        <sz val="12"/>
        <color rgb="FF000000"/>
        <rFont val="仿宋"/>
        <charset val="134"/>
      </rPr>
      <t xml:space="preserve">   班级/专业总人数：</t>
    </r>
    <r>
      <rPr>
        <u/>
        <sz val="12"/>
        <color rgb="FF000000"/>
        <rFont val="仿宋"/>
        <charset val="134"/>
      </rPr>
      <t xml:space="preserve"> 18 </t>
    </r>
  </si>
  <si>
    <t>D202508200214</t>
  </si>
  <si>
    <t>张耀友</t>
  </si>
  <si>
    <t>D202508200210</t>
  </si>
  <si>
    <t>王一凡</t>
  </si>
  <si>
    <t>85.59</t>
  </si>
  <si>
    <t>D202508200218</t>
  </si>
  <si>
    <t>王佳蔚</t>
  </si>
  <si>
    <t>D202508200202</t>
  </si>
  <si>
    <t>颜舒瑶</t>
  </si>
  <si>
    <t>D202508200215</t>
  </si>
  <si>
    <t>赵桐</t>
  </si>
  <si>
    <t>D202508200217</t>
  </si>
  <si>
    <t>石雨鑫</t>
  </si>
  <si>
    <t>D202508200216</t>
  </si>
  <si>
    <t>尚晓雯</t>
  </si>
  <si>
    <t>D202508200201</t>
  </si>
  <si>
    <t>黄玉池</t>
  </si>
  <si>
    <t>76.59</t>
  </si>
  <si>
    <t>D202508200219</t>
  </si>
  <si>
    <t>D202508200213</t>
  </si>
  <si>
    <t>臧侍强</t>
  </si>
  <si>
    <t>D202508200203</t>
  </si>
  <si>
    <t>李俊周</t>
  </si>
  <si>
    <t>D202508200209</t>
  </si>
  <si>
    <t>唐思毅</t>
  </si>
  <si>
    <t>D202508200206</t>
  </si>
  <si>
    <t>盛佳豪</t>
  </si>
  <si>
    <t>D202508200204</t>
  </si>
  <si>
    <t>陆昭旬</t>
  </si>
  <si>
    <t>72.65</t>
  </si>
  <si>
    <t>D202508200212</t>
  </si>
  <si>
    <t>许祝源</t>
  </si>
  <si>
    <t>78.88</t>
  </si>
  <si>
    <t>D202508200208</t>
  </si>
  <si>
    <t>宋润泽</t>
  </si>
  <si>
    <t>78.71</t>
  </si>
  <si>
    <t>D202508200207</t>
  </si>
  <si>
    <t>宋俊毅</t>
  </si>
  <si>
    <t>D202508200205</t>
  </si>
  <si>
    <t>沈子鉴</t>
  </si>
  <si>
    <r>
      <rPr>
        <sz val="12"/>
        <color rgb="FF000000"/>
        <rFont val="仿宋"/>
        <charset val="134"/>
      </rPr>
      <t xml:space="preserve">  学院（盖章）：</t>
    </r>
    <r>
      <rPr>
        <u/>
        <sz val="12"/>
        <color rgb="FF000000"/>
        <rFont val="仿宋"/>
        <charset val="134"/>
      </rPr>
      <t xml:space="preserve">  智能媒体工程学院  </t>
    </r>
    <r>
      <rPr>
        <sz val="12"/>
        <color rgb="FF000000"/>
        <rFont val="仿宋"/>
        <charset val="134"/>
      </rPr>
      <t xml:space="preserve">   年级：</t>
    </r>
    <r>
      <rPr>
        <u/>
        <sz val="12"/>
        <color rgb="FF000000"/>
        <rFont val="仿宋"/>
        <charset val="134"/>
      </rPr>
      <t>2023级</t>
    </r>
    <r>
      <rPr>
        <sz val="12"/>
        <color rgb="FF000000"/>
        <rFont val="仿宋"/>
        <charset val="134"/>
      </rPr>
      <t xml:space="preserve">  班级/专业：</t>
    </r>
    <r>
      <rPr>
        <u/>
        <sz val="12"/>
        <color rgb="FF000000"/>
        <rFont val="仿宋"/>
        <charset val="134"/>
      </rPr>
      <t xml:space="preserve">  23计科（3+2）3班   </t>
    </r>
    <r>
      <rPr>
        <sz val="12"/>
        <color rgb="FF000000"/>
        <rFont val="仿宋"/>
        <charset val="134"/>
      </rPr>
      <t xml:space="preserve">    班级/专业总人数：</t>
    </r>
    <r>
      <rPr>
        <u/>
        <sz val="12"/>
        <color rgb="FF000000"/>
        <rFont val="仿宋"/>
        <charset val="134"/>
      </rPr>
      <t xml:space="preserve">   35 </t>
    </r>
  </si>
  <si>
    <t>D202508240101</t>
  </si>
  <si>
    <t>张子夜</t>
  </si>
  <si>
    <t>D202508240102</t>
  </si>
  <si>
    <t>葛文槿</t>
  </si>
  <si>
    <t>D202508240103</t>
  </si>
  <si>
    <t>魏思雨</t>
  </si>
  <si>
    <t>D202508240104</t>
  </si>
  <si>
    <t>徐睿</t>
  </si>
  <si>
    <t>D202508240105</t>
  </si>
  <si>
    <t>武心悦</t>
  </si>
  <si>
    <t>D202508240106</t>
  </si>
  <si>
    <t>陈志伟</t>
  </si>
  <si>
    <t>D202508240107</t>
  </si>
  <si>
    <t>顾川柽</t>
  </si>
  <si>
    <t>D202508240108</t>
  </si>
  <si>
    <t>王佳妮</t>
  </si>
  <si>
    <t>D202508240109</t>
  </si>
  <si>
    <t>吴载希</t>
  </si>
  <si>
    <t>D202508240110</t>
  </si>
  <si>
    <t>冯慧颖</t>
  </si>
  <si>
    <t>D202508240113</t>
  </si>
  <si>
    <t>蒋秋剑</t>
  </si>
  <si>
    <t>D202508240114</t>
  </si>
  <si>
    <t>怀瑞杰</t>
  </si>
  <si>
    <t>D202508240115</t>
  </si>
  <si>
    <t>程威扬</t>
  </si>
  <si>
    <t>D202508240116</t>
  </si>
  <si>
    <t>余振东</t>
  </si>
  <si>
    <t>D202508240117</t>
  </si>
  <si>
    <t>刘昊东</t>
  </si>
  <si>
    <t>D202508240118</t>
  </si>
  <si>
    <t>D202508240119</t>
  </si>
  <si>
    <t>徐梓洲</t>
  </si>
  <si>
    <t>D202508240121</t>
  </si>
  <si>
    <t>夏天</t>
  </si>
  <si>
    <t>D202508240122</t>
  </si>
  <si>
    <t>林子康</t>
  </si>
  <si>
    <t>D202508240120</t>
  </si>
  <si>
    <t>毛瑞琪</t>
  </si>
  <si>
    <t>D202508240124</t>
  </si>
  <si>
    <t>付鸿伟</t>
  </si>
  <si>
    <t>D202508240125</t>
  </si>
  <si>
    <t>鲍诗耀</t>
  </si>
  <si>
    <t>D202508240126</t>
  </si>
  <si>
    <t>王心怡</t>
  </si>
  <si>
    <t>D202508240123</t>
  </si>
  <si>
    <t>朱道盛</t>
  </si>
  <si>
    <t>D202508240129</t>
  </si>
  <si>
    <t>王宁</t>
  </si>
  <si>
    <t>D202508240130</t>
  </si>
  <si>
    <t>朱丽军</t>
  </si>
  <si>
    <t>D202508240127</t>
  </si>
  <si>
    <t>祝志文</t>
  </si>
  <si>
    <t>D202508240132</t>
  </si>
  <si>
    <t>陈鑫</t>
  </si>
  <si>
    <t>D202508240133</t>
  </si>
  <si>
    <t>张展卿</t>
  </si>
  <si>
    <t>D202508240128</t>
  </si>
  <si>
    <t>张俊齐</t>
  </si>
  <si>
    <t>D202508240131</t>
  </si>
  <si>
    <t>韩金豹</t>
  </si>
  <si>
    <t>D202508240135</t>
  </si>
  <si>
    <t>芮子涵</t>
  </si>
  <si>
    <t>D202508240136</t>
  </si>
  <si>
    <t>马扬</t>
  </si>
  <si>
    <t>D202508240137</t>
  </si>
  <si>
    <t>周勇辰</t>
  </si>
  <si>
    <t>D202508240139</t>
  </si>
  <si>
    <t>孙赫</t>
  </si>
  <si>
    <r>
      <rPr>
        <sz val="12"/>
        <color theme="1"/>
        <rFont val="仿宋"/>
        <charset val="134"/>
      </rPr>
      <t xml:space="preserve">  学院（盖章）：</t>
    </r>
    <r>
      <rPr>
        <u/>
        <sz val="12"/>
        <color theme="1"/>
        <rFont val="仿宋"/>
        <charset val="134"/>
      </rPr>
      <t xml:space="preserve">  智能媒体工程学院   </t>
    </r>
    <r>
      <rPr>
        <sz val="12"/>
        <color theme="1"/>
        <rFont val="仿宋"/>
        <charset val="134"/>
      </rPr>
      <t xml:space="preserve">   年级：</t>
    </r>
    <r>
      <rPr>
        <u/>
        <sz val="12"/>
        <color theme="1"/>
        <rFont val="仿宋"/>
        <charset val="134"/>
      </rPr>
      <t xml:space="preserve"> 2023级 </t>
    </r>
    <r>
      <rPr>
        <sz val="12"/>
        <color theme="1"/>
        <rFont val="仿宋"/>
        <charset val="134"/>
      </rPr>
      <t xml:space="preserve">   </t>
    </r>
    <r>
      <rPr>
        <sz val="12"/>
        <rFont val="仿宋"/>
        <charset val="134"/>
      </rPr>
      <t>班级/专业：</t>
    </r>
    <r>
      <rPr>
        <u/>
        <sz val="12"/>
        <rFont val="仿宋"/>
        <charset val="134"/>
      </rPr>
      <t xml:space="preserve"> 23数媒</t>
    </r>
    <r>
      <rPr>
        <u/>
        <sz val="12"/>
        <color theme="1"/>
        <rFont val="仿宋"/>
        <charset val="134"/>
      </rPr>
      <t xml:space="preserve">技术(3+2)1班    </t>
    </r>
    <r>
      <rPr>
        <sz val="12"/>
        <color theme="1"/>
        <rFont val="仿宋"/>
        <charset val="134"/>
      </rPr>
      <t xml:space="preserve">     班级/专业总人数： </t>
    </r>
    <r>
      <rPr>
        <u/>
        <sz val="12"/>
        <color theme="1"/>
        <rFont val="仿宋"/>
        <charset val="134"/>
      </rPr>
      <t xml:space="preserve"> 47   </t>
    </r>
  </si>
  <si>
    <t>D202508250143</t>
  </si>
  <si>
    <t>王珈璇</t>
  </si>
  <si>
    <t>D202508250132</t>
  </si>
  <si>
    <t>刘彬</t>
  </si>
  <si>
    <t>D202508250137</t>
  </si>
  <si>
    <t>邵雯夕</t>
  </si>
  <si>
    <t>D202508250116</t>
  </si>
  <si>
    <t>朱君怡</t>
  </si>
  <si>
    <t>D202508250145</t>
  </si>
  <si>
    <t>王明宇</t>
  </si>
  <si>
    <t>D202508250136</t>
  </si>
  <si>
    <t>丘睿</t>
  </si>
  <si>
    <t>D202508250133</t>
  </si>
  <si>
    <t>马睿妍</t>
  </si>
  <si>
    <t>D202508250129</t>
  </si>
  <si>
    <t>孔祥薇</t>
  </si>
  <si>
    <t>D202508250134</t>
  </si>
  <si>
    <t>潘胜男</t>
  </si>
  <si>
    <t>D202508250147</t>
  </si>
  <si>
    <t>夏明蔚</t>
  </si>
  <si>
    <t>D202508250109</t>
  </si>
  <si>
    <t>张佳旺</t>
  </si>
  <si>
    <t>D202508250128</t>
  </si>
  <si>
    <t>姜雨佳</t>
  </si>
  <si>
    <t>D202508250111</t>
  </si>
  <si>
    <t>张星雨</t>
  </si>
  <si>
    <t>D202508250139</t>
  </si>
  <si>
    <t>苏男</t>
  </si>
  <si>
    <t>D202508250126</t>
  </si>
  <si>
    <t>季奕铭</t>
  </si>
  <si>
    <t>D202508250110</t>
  </si>
  <si>
    <t>张梦凡</t>
  </si>
  <si>
    <t>D202508250101</t>
  </si>
  <si>
    <t>吴翠</t>
  </si>
  <si>
    <t>D202508250131</t>
  </si>
  <si>
    <t>李娜</t>
  </si>
  <si>
    <t>D202508250108</t>
  </si>
  <si>
    <t>张惠</t>
  </si>
  <si>
    <t>D202508250104</t>
  </si>
  <si>
    <t>相文烨</t>
  </si>
  <si>
    <t>D202508250118</t>
  </si>
  <si>
    <t>曹恩铭</t>
  </si>
  <si>
    <t>D202508250102</t>
  </si>
  <si>
    <t>巫高杰</t>
  </si>
  <si>
    <t>D202508250125</t>
  </si>
  <si>
    <t>胡攀</t>
  </si>
  <si>
    <t>D202508250114</t>
  </si>
  <si>
    <t>赵鹏</t>
  </si>
  <si>
    <t>D202508250113</t>
  </si>
  <si>
    <t>赵鸿</t>
  </si>
  <si>
    <t>D202508250122</t>
  </si>
  <si>
    <t>戈婷婷</t>
  </si>
  <si>
    <t>D202508250117</t>
  </si>
  <si>
    <t>邹智康</t>
  </si>
  <si>
    <t>D202508250135</t>
  </si>
  <si>
    <t>浦文楠</t>
  </si>
  <si>
    <t>D202508250144</t>
  </si>
  <si>
    <t>王珏</t>
  </si>
  <si>
    <t>D202508250127</t>
  </si>
  <si>
    <t>江福鸿</t>
  </si>
  <si>
    <t>D202508250120</t>
  </si>
  <si>
    <t>陈猛</t>
  </si>
  <si>
    <t>D202508250121</t>
  </si>
  <si>
    <t>方承宇</t>
  </si>
  <si>
    <t>D202508250112</t>
  </si>
  <si>
    <t>张哲豪</t>
  </si>
  <si>
    <t>D202508250105</t>
  </si>
  <si>
    <t>叶烨</t>
  </si>
  <si>
    <t>D202508250103</t>
  </si>
  <si>
    <t>D202508250107</t>
  </si>
  <si>
    <t>张华健</t>
  </si>
  <si>
    <t>D202508250119</t>
  </si>
  <si>
    <t>陈康旭</t>
  </si>
  <si>
    <t>D202508250140</t>
  </si>
  <si>
    <t>苏子桐</t>
  </si>
  <si>
    <t>D202508250115</t>
  </si>
  <si>
    <t>周仁杰</t>
  </si>
  <si>
    <t>D202508250130</t>
  </si>
  <si>
    <t>兰凯</t>
  </si>
  <si>
    <t>D202508250138</t>
  </si>
  <si>
    <t>邵梓恒</t>
  </si>
  <si>
    <t>D202508250142</t>
  </si>
  <si>
    <t>童鹏程</t>
  </si>
  <si>
    <t>D202508250106</t>
  </si>
  <si>
    <t>易泉宇</t>
  </si>
  <si>
    <t>D202508250123</t>
  </si>
  <si>
    <t>郭思雨</t>
  </si>
  <si>
    <t>D202508250146</t>
  </si>
  <si>
    <t>王倩</t>
  </si>
  <si>
    <t>D202508250124</t>
  </si>
  <si>
    <t>胡露露</t>
  </si>
  <si>
    <t>D202508250141</t>
  </si>
  <si>
    <t>唐佳亮</t>
  </si>
  <si>
    <r>
      <rPr>
        <sz val="12"/>
        <color rgb="FF000000"/>
        <rFont val="仿宋"/>
        <charset val="134"/>
      </rPr>
      <t xml:space="preserve">  学院（盖章）：</t>
    </r>
    <r>
      <rPr>
        <u/>
        <sz val="12"/>
        <color rgb="FF000000"/>
        <rFont val="仿宋"/>
        <charset val="134"/>
      </rPr>
      <t xml:space="preserve">  智能媒体工程学院  </t>
    </r>
    <r>
      <rPr>
        <sz val="12"/>
        <color rgb="FF000000"/>
        <rFont val="仿宋"/>
        <charset val="134"/>
      </rPr>
      <t xml:space="preserve">   年级：</t>
    </r>
    <r>
      <rPr>
        <u/>
        <sz val="12"/>
        <color rgb="FF000000"/>
        <rFont val="仿宋"/>
        <charset val="134"/>
      </rPr>
      <t xml:space="preserve">2023级   </t>
    </r>
    <r>
      <rPr>
        <sz val="12"/>
        <color rgb="FF000000"/>
        <rFont val="仿宋"/>
        <charset val="134"/>
      </rPr>
      <t xml:space="preserve"> 班级/专业：</t>
    </r>
    <r>
      <rPr>
        <u/>
        <sz val="12"/>
        <color rgb="FF000000"/>
        <rFont val="仿宋"/>
        <charset val="134"/>
      </rPr>
      <t xml:space="preserve">   23数媒（3+2）2班   </t>
    </r>
    <r>
      <rPr>
        <sz val="12"/>
        <color rgb="FF000000"/>
        <rFont val="仿宋"/>
        <charset val="134"/>
      </rPr>
      <t xml:space="preserve"> 班级/专业总人数：</t>
    </r>
    <r>
      <rPr>
        <u/>
        <sz val="12"/>
        <color rgb="FF000000"/>
        <rFont val="仿宋"/>
        <charset val="134"/>
      </rPr>
      <t xml:space="preserve">  37   </t>
    </r>
  </si>
  <si>
    <t>D202508260132</t>
  </si>
  <si>
    <t>杨雨蝶</t>
  </si>
  <si>
    <t>88.08</t>
  </si>
  <si>
    <t>D202508260103</t>
  </si>
  <si>
    <t>常家乐</t>
  </si>
  <si>
    <t>86.58</t>
  </si>
  <si>
    <t>D202508260104</t>
  </si>
  <si>
    <t>陈静</t>
  </si>
  <si>
    <t>87.33</t>
  </si>
  <si>
    <t>D202508260117</t>
  </si>
  <si>
    <t>刘卢瑶</t>
  </si>
  <si>
    <t>D202508260127</t>
  </si>
  <si>
    <t>王丹彤</t>
  </si>
  <si>
    <t>87.17</t>
  </si>
  <si>
    <t>D202508260131</t>
  </si>
  <si>
    <t>徐欣然</t>
  </si>
  <si>
    <t>87.42</t>
  </si>
  <si>
    <t>D202508260133</t>
  </si>
  <si>
    <t>詹慧玲</t>
  </si>
  <si>
    <t>88.83</t>
  </si>
  <si>
    <t>D202508260138</t>
  </si>
  <si>
    <t>曾雨欣</t>
  </si>
  <si>
    <t>88.50</t>
  </si>
  <si>
    <t>D202508260118</t>
  </si>
  <si>
    <t>吕诗琪</t>
  </si>
  <si>
    <t>D202508260113</t>
  </si>
  <si>
    <t>李德星</t>
  </si>
  <si>
    <t>D202508260102</t>
  </si>
  <si>
    <t>朱晓琪</t>
  </si>
  <si>
    <t>88.33</t>
  </si>
  <si>
    <t>D202508260125</t>
  </si>
  <si>
    <t>谭佳佳</t>
  </si>
  <si>
    <t>86.42</t>
  </si>
  <si>
    <t>D202508260122</t>
  </si>
  <si>
    <t>石颖然</t>
  </si>
  <si>
    <t>87.83</t>
  </si>
  <si>
    <t>D202508260130</t>
  </si>
  <si>
    <t>徐婧瑜</t>
  </si>
  <si>
    <t>87.67</t>
  </si>
  <si>
    <t>D202508260135</t>
  </si>
  <si>
    <t>张泽宇</t>
  </si>
  <si>
    <t>D202508260109</t>
  </si>
  <si>
    <t>桂源</t>
  </si>
  <si>
    <t>D202508260128</t>
  </si>
  <si>
    <t>王淑凡</t>
  </si>
  <si>
    <t>D202508260101</t>
  </si>
  <si>
    <t>曹露</t>
  </si>
  <si>
    <t>D202508260123</t>
  </si>
  <si>
    <t>苏思婷</t>
  </si>
  <si>
    <t>86.75</t>
  </si>
  <si>
    <t>D202508260120</t>
  </si>
  <si>
    <t>彭颖</t>
  </si>
  <si>
    <t>86.17</t>
  </si>
  <si>
    <t>D202508260115</t>
  </si>
  <si>
    <t>林思彤</t>
  </si>
  <si>
    <t>D202508260136</t>
  </si>
  <si>
    <t>张紫慧</t>
  </si>
  <si>
    <t>86.08</t>
  </si>
  <si>
    <t>D202508260110</t>
  </si>
  <si>
    <t>黄露雅</t>
  </si>
  <si>
    <t>D202508260137</t>
  </si>
  <si>
    <t>赵晨欣</t>
  </si>
  <si>
    <t>85.75</t>
  </si>
  <si>
    <t>D202508260119</t>
  </si>
  <si>
    <t>倪辉</t>
  </si>
  <si>
    <t>84.58</t>
  </si>
  <si>
    <t>D202508260114</t>
  </si>
  <si>
    <t>李启文</t>
  </si>
  <si>
    <t>84.92</t>
  </si>
  <si>
    <t>D202508260111</t>
  </si>
  <si>
    <t>蒋陈旭</t>
  </si>
  <si>
    <t>84.50</t>
  </si>
  <si>
    <t>D202508260106</t>
  </si>
  <si>
    <t>丁洁</t>
  </si>
  <si>
    <t>83.83</t>
  </si>
  <si>
    <t>D202508260134</t>
  </si>
  <si>
    <t>张继好</t>
  </si>
  <si>
    <t>83.50</t>
  </si>
  <si>
    <t>D202508260116</t>
  </si>
  <si>
    <t>刘京京</t>
  </si>
  <si>
    <t>D202508260124</t>
  </si>
  <si>
    <t>苏韬</t>
  </si>
  <si>
    <t>D202508260108</t>
  </si>
  <si>
    <t>顾桓畅</t>
  </si>
  <si>
    <t>D202508260105</t>
  </si>
  <si>
    <t>陈熙伦</t>
  </si>
  <si>
    <t>82.83</t>
  </si>
  <si>
    <t>D202508260121</t>
  </si>
  <si>
    <t>芮鸿裕</t>
  </si>
  <si>
    <t>D202508260129</t>
  </si>
  <si>
    <t>熊殷思奇</t>
  </si>
  <si>
    <t>D202508260107</t>
  </si>
  <si>
    <t>范轩诚</t>
  </si>
  <si>
    <t>74.08</t>
  </si>
  <si>
    <t>D202508260112</t>
  </si>
  <si>
    <t>兰昀霏</t>
  </si>
  <si>
    <t>74.67</t>
  </si>
  <si>
    <t>23级综测前百分之四十</t>
  </si>
  <si>
    <t>体育成绩总评(R3)</t>
  </si>
  <si>
    <t>综合测评（R）</t>
  </si>
  <si>
    <t>奖学金</t>
  </si>
  <si>
    <t>算术平均分</t>
  </si>
  <si>
    <t>一等奖学金</t>
  </si>
  <si>
    <t>挂科</t>
  </si>
  <si>
    <t>二等奖学金</t>
  </si>
  <si>
    <t>三等奖学金</t>
  </si>
  <si>
    <t>旷课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</si>
</sst>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0_);[Red]\(0.00\)"/>
  </numFmts>
  <fonts count="37">
    <font>
      <sz val="11"/>
      <color theme="1"/>
      <name val="宋体"/>
      <charset val="134"/>
      <scheme val="minor"/>
    </font>
    <font>
      <sz val="12"/>
      <color theme="1"/>
      <name val="仿宋"/>
      <charset val="134"/>
    </font>
    <font>
      <sz val="11"/>
      <color theme="1"/>
      <name val="仿宋"/>
      <charset val="134"/>
    </font>
    <font>
      <sz val="12"/>
      <color theme="1"/>
      <name val="宋体"/>
      <charset val="134"/>
      <scheme val="minor"/>
    </font>
    <font>
      <sz val="11"/>
      <color rgb="FF000000"/>
      <name val="黑体"/>
      <charset val="134"/>
    </font>
    <font>
      <sz val="18"/>
      <color rgb="FF000000"/>
      <name val="黑体"/>
      <charset val="134"/>
    </font>
    <font>
      <sz val="12"/>
      <color rgb="FF000000"/>
      <name val="仿宋"/>
      <charset val="134"/>
    </font>
    <font>
      <b/>
      <sz val="11"/>
      <color rgb="FF000000"/>
      <name val="仿宋"/>
      <charset val="134"/>
    </font>
    <font>
      <sz val="11"/>
      <color theme="1"/>
      <name val="黑体"/>
      <charset val="134"/>
    </font>
    <font>
      <sz val="18"/>
      <color theme="1"/>
      <name val="黑体"/>
      <charset val="134"/>
    </font>
    <font>
      <b/>
      <sz val="11"/>
      <color theme="1"/>
      <name val="仿宋"/>
      <charset val="134"/>
    </font>
    <font>
      <sz val="11"/>
      <color theme="1"/>
      <name val="宋体"/>
      <charset val="134"/>
    </font>
    <font>
      <sz val="11"/>
      <color rgb="FF000000"/>
      <name val="仿宋"/>
      <charset val="134"/>
    </font>
    <font>
      <sz val="12"/>
      <color rgb="FF121212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2"/>
      <color rgb="FF000000"/>
      <name val="仿宋"/>
      <charset val="134"/>
    </font>
    <font>
      <u/>
      <sz val="12"/>
      <color theme="1"/>
      <name val="仿宋"/>
      <charset val="134"/>
    </font>
    <font>
      <sz val="12"/>
      <name val="仿宋"/>
      <charset val="134"/>
    </font>
    <font>
      <u/>
      <sz val="12"/>
      <name val="仿宋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5" fillId="8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/>
  </cellStyleXfs>
  <cellXfs count="5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7" fontId="4" fillId="0" borderId="0" xfId="0" applyNumberFormat="1" applyFont="1" applyFill="1" applyAlignment="1">
      <alignment horizontal="left" vertical="center" wrapText="1"/>
    </xf>
    <xf numFmtId="177" fontId="5" fillId="0" borderId="0" xfId="0" applyNumberFormat="1" applyFont="1" applyFill="1" applyAlignment="1">
      <alignment horizontal="center" vertical="center" wrapText="1"/>
    </xf>
    <xf numFmtId="177" fontId="6" fillId="0" borderId="0" xfId="0" applyNumberFormat="1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12" fillId="0" borderId="0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0" fillId="0" borderId="0" xfId="0" applyBorder="1">
      <alignment vertical="center"/>
    </xf>
    <xf numFmtId="178" fontId="8" fillId="0" borderId="0" xfId="0" applyNumberFormat="1" applyFont="1" applyAlignment="1">
      <alignment horizontal="left" vertical="center" wrapText="1"/>
    </xf>
    <xf numFmtId="178" fontId="9" fillId="0" borderId="0" xfId="0" applyNumberFormat="1" applyFont="1" applyAlignment="1">
      <alignment horizontal="center" vertical="center" wrapText="1"/>
    </xf>
    <xf numFmtId="178" fontId="1" fillId="0" borderId="0" xfId="0" applyNumberFormat="1" applyFont="1" applyAlignment="1">
      <alignment horizontal="left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haredStrings" Target="sharedStrings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externalLink" Target="externalLinks/externalLink3.xml"/><Relationship Id="rId27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mt260949/Desktop//Users/25348/Downloads/&#35780;&#36873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mt260949/Desktop//Users/y1887/Desktop/caoxixi/&#35780;&#22870;&#35780;&#20248;/&#38468;&#20214;3&#65306;23&#35745;&#31185;&#36716;&#26412;5&#29677;&#12298;&#21335;&#20140;&#20256;&#23186;&#23398;&#38498;2025-2026&#23398;&#24180;&#32508;&#21512;&#27979;&#35780;&#30331;&#35760;&#34920;&#1229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mt260949/Desktop//&#24494;&#20449;/xwechat_files/wxid_p9noymw42dq222_978f/msg/file/2026-09/23&#35745;&#31185;&#65288;3+2&#65289;1&#29677;_&#22823;&#19977;&#23398;&#24180;_&#32508;&#21512;&#27979;&#35780;(3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>
        <row r="5">
          <cell r="J5">
            <v>100</v>
          </cell>
        </row>
        <row r="6">
          <cell r="J6">
            <v>96</v>
          </cell>
        </row>
        <row r="7">
          <cell r="J7">
            <v>100</v>
          </cell>
        </row>
        <row r="8">
          <cell r="J8">
            <v>100</v>
          </cell>
        </row>
        <row r="9">
          <cell r="J9">
            <v>98</v>
          </cell>
        </row>
        <row r="10">
          <cell r="J10">
            <v>100</v>
          </cell>
        </row>
        <row r="11">
          <cell r="J11">
            <v>98</v>
          </cell>
        </row>
        <row r="12">
          <cell r="J12">
            <v>99</v>
          </cell>
        </row>
        <row r="13">
          <cell r="J13">
            <v>96</v>
          </cell>
        </row>
        <row r="14">
          <cell r="J14">
            <v>99</v>
          </cell>
        </row>
        <row r="15">
          <cell r="J15">
            <v>100</v>
          </cell>
        </row>
        <row r="16">
          <cell r="J16">
            <v>98</v>
          </cell>
        </row>
        <row r="17">
          <cell r="J17">
            <v>98</v>
          </cell>
        </row>
        <row r="18">
          <cell r="J18">
            <v>98</v>
          </cell>
        </row>
        <row r="19">
          <cell r="J19">
            <v>90</v>
          </cell>
        </row>
        <row r="20">
          <cell r="J20">
            <v>96</v>
          </cell>
        </row>
        <row r="21">
          <cell r="J21">
            <v>98</v>
          </cell>
        </row>
        <row r="22">
          <cell r="J22">
            <v>100</v>
          </cell>
        </row>
        <row r="23">
          <cell r="J23">
            <v>99</v>
          </cell>
        </row>
        <row r="24">
          <cell r="J24">
            <v>96</v>
          </cell>
        </row>
        <row r="25">
          <cell r="J25">
            <v>98</v>
          </cell>
        </row>
        <row r="26">
          <cell r="J26">
            <v>96</v>
          </cell>
        </row>
        <row r="27">
          <cell r="J27">
            <v>98</v>
          </cell>
        </row>
        <row r="28">
          <cell r="J28">
            <v>94</v>
          </cell>
        </row>
        <row r="29">
          <cell r="J29">
            <v>98</v>
          </cell>
        </row>
        <row r="30">
          <cell r="J30">
            <v>94</v>
          </cell>
        </row>
        <row r="31">
          <cell r="J31">
            <v>98</v>
          </cell>
        </row>
        <row r="32">
          <cell r="J32">
            <v>94</v>
          </cell>
        </row>
        <row r="33">
          <cell r="J33">
            <v>85</v>
          </cell>
        </row>
        <row r="34">
          <cell r="J34">
            <v>96</v>
          </cell>
        </row>
        <row r="35">
          <cell r="J35">
            <v>96</v>
          </cell>
        </row>
        <row r="36">
          <cell r="J36">
            <v>88</v>
          </cell>
        </row>
        <row r="37">
          <cell r="J37">
            <v>98</v>
          </cell>
        </row>
        <row r="38">
          <cell r="J38">
            <v>98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 refreshError="1">
        <row r="1">
          <cell r="B1" t="str">
            <v>姓名</v>
          </cell>
          <cell r="C1" t="str">
            <v>总分</v>
          </cell>
          <cell r="D1" t="str">
            <v>总应获得学分</v>
          </cell>
          <cell r="E1" t="str">
            <v>门数</v>
          </cell>
          <cell r="F1" t="str">
            <v>总学分</v>
          </cell>
          <cell r="G1" t="str">
            <v>获得学分</v>
          </cell>
          <cell r="H1" t="str">
            <v>不及格学分</v>
          </cell>
          <cell r="I1" t="str">
            <v>通过率</v>
          </cell>
          <cell r="J1" t="str">
            <v>算术平均分</v>
          </cell>
        </row>
        <row r="2">
          <cell r="B2" t="str">
            <v>周高霞</v>
          </cell>
          <cell r="C2" t="str">
            <v>1343</v>
          </cell>
          <cell r="D2" t="str">
            <v>184</v>
          </cell>
          <cell r="E2" t="str">
            <v>15</v>
          </cell>
          <cell r="F2" t="str">
            <v>43</v>
          </cell>
          <cell r="G2" t="str">
            <v>43</v>
          </cell>
          <cell r="H2" t="str">
            <v>0</v>
          </cell>
          <cell r="I2" t="str">
            <v>100%</v>
          </cell>
          <cell r="J2" t="str">
            <v>89.53</v>
          </cell>
        </row>
        <row r="3">
          <cell r="B3" t="str">
            <v>袁坤尧</v>
          </cell>
          <cell r="C3" t="str">
            <v>1326</v>
          </cell>
          <cell r="D3" t="str">
            <v>184</v>
          </cell>
          <cell r="E3" t="str">
            <v>15</v>
          </cell>
          <cell r="F3" t="str">
            <v>43</v>
          </cell>
          <cell r="G3" t="str">
            <v>43</v>
          </cell>
          <cell r="H3" t="str">
            <v>0</v>
          </cell>
          <cell r="I3" t="str">
            <v>100%</v>
          </cell>
          <cell r="J3" t="str">
            <v>88.40</v>
          </cell>
        </row>
        <row r="4">
          <cell r="B4" t="str">
            <v>赵焰如</v>
          </cell>
          <cell r="C4" t="str">
            <v>1326</v>
          </cell>
          <cell r="D4" t="str">
            <v>184</v>
          </cell>
          <cell r="E4" t="str">
            <v>15</v>
          </cell>
          <cell r="F4" t="str">
            <v>43</v>
          </cell>
          <cell r="G4" t="str">
            <v>43</v>
          </cell>
          <cell r="H4" t="str">
            <v>0</v>
          </cell>
          <cell r="I4" t="str">
            <v>100%</v>
          </cell>
          <cell r="J4" t="str">
            <v>88.40</v>
          </cell>
        </row>
        <row r="5">
          <cell r="B5" t="str">
            <v>郭紫琼</v>
          </cell>
          <cell r="C5" t="str">
            <v>1322</v>
          </cell>
          <cell r="D5" t="str">
            <v>184</v>
          </cell>
          <cell r="E5" t="str">
            <v>15</v>
          </cell>
          <cell r="F5" t="str">
            <v>43</v>
          </cell>
          <cell r="G5" t="str">
            <v>43</v>
          </cell>
          <cell r="H5" t="str">
            <v>0</v>
          </cell>
          <cell r="I5" t="str">
            <v>100%</v>
          </cell>
          <cell r="J5" t="str">
            <v>88.13</v>
          </cell>
        </row>
        <row r="6">
          <cell r="B6" t="str">
            <v>徐宇涵</v>
          </cell>
          <cell r="C6" t="str">
            <v>1318</v>
          </cell>
          <cell r="D6" t="str">
            <v>184</v>
          </cell>
          <cell r="E6" t="str">
            <v>15</v>
          </cell>
          <cell r="F6" t="str">
            <v>43</v>
          </cell>
          <cell r="G6" t="str">
            <v>43</v>
          </cell>
          <cell r="H6" t="str">
            <v>0</v>
          </cell>
          <cell r="I6" t="str">
            <v>100%</v>
          </cell>
          <cell r="J6" t="str">
            <v>87.87</v>
          </cell>
        </row>
        <row r="7">
          <cell r="B7" t="str">
            <v>原志国</v>
          </cell>
          <cell r="C7" t="str">
            <v>1304</v>
          </cell>
          <cell r="D7" t="str">
            <v>184</v>
          </cell>
          <cell r="E7" t="str">
            <v>15</v>
          </cell>
          <cell r="F7" t="str">
            <v>43</v>
          </cell>
          <cell r="G7" t="str">
            <v>43</v>
          </cell>
          <cell r="H7" t="str">
            <v>0</v>
          </cell>
          <cell r="I7" t="str">
            <v>100%</v>
          </cell>
          <cell r="J7" t="str">
            <v>86.93</v>
          </cell>
        </row>
        <row r="8">
          <cell r="B8" t="str">
            <v>程俊豪</v>
          </cell>
          <cell r="C8" t="str">
            <v>1300</v>
          </cell>
          <cell r="D8" t="str">
            <v>184</v>
          </cell>
          <cell r="E8" t="str">
            <v>15</v>
          </cell>
          <cell r="F8" t="str">
            <v>43</v>
          </cell>
          <cell r="G8" t="str">
            <v>43</v>
          </cell>
          <cell r="H8" t="str">
            <v>0</v>
          </cell>
          <cell r="I8" t="str">
            <v>100%</v>
          </cell>
          <cell r="J8" t="str">
            <v>86.67</v>
          </cell>
        </row>
        <row r="9">
          <cell r="B9" t="str">
            <v>金宁波</v>
          </cell>
          <cell r="C9" t="str">
            <v>1294</v>
          </cell>
          <cell r="D9" t="str">
            <v>184</v>
          </cell>
          <cell r="E9" t="str">
            <v>15</v>
          </cell>
          <cell r="F9" t="str">
            <v>43</v>
          </cell>
          <cell r="G9" t="str">
            <v>43</v>
          </cell>
          <cell r="H9" t="str">
            <v>0</v>
          </cell>
          <cell r="I9" t="str">
            <v>100%</v>
          </cell>
          <cell r="J9" t="str">
            <v>86.27</v>
          </cell>
        </row>
        <row r="10">
          <cell r="B10" t="str">
            <v>李邵唯</v>
          </cell>
          <cell r="C10" t="str">
            <v>1286</v>
          </cell>
          <cell r="D10" t="str">
            <v>184</v>
          </cell>
          <cell r="E10" t="str">
            <v>15</v>
          </cell>
          <cell r="F10" t="str">
            <v>43</v>
          </cell>
          <cell r="G10" t="str">
            <v>43</v>
          </cell>
          <cell r="H10" t="str">
            <v>0</v>
          </cell>
          <cell r="I10" t="str">
            <v>100%</v>
          </cell>
          <cell r="J10" t="str">
            <v>85.73</v>
          </cell>
        </row>
        <row r="11">
          <cell r="B11" t="str">
            <v>乐逸哲</v>
          </cell>
          <cell r="C11" t="str">
            <v>1270</v>
          </cell>
          <cell r="D11" t="str">
            <v>184</v>
          </cell>
          <cell r="E11" t="str">
            <v>15</v>
          </cell>
          <cell r="F11" t="str">
            <v>43</v>
          </cell>
          <cell r="G11" t="str">
            <v>43</v>
          </cell>
          <cell r="H11" t="str">
            <v>0</v>
          </cell>
          <cell r="I11" t="str">
            <v>100%</v>
          </cell>
          <cell r="J11" t="str">
            <v>84.67</v>
          </cell>
        </row>
        <row r="12">
          <cell r="B12" t="str">
            <v>马文欣</v>
          </cell>
          <cell r="C12" t="str">
            <v>1266</v>
          </cell>
          <cell r="D12" t="str">
            <v>184</v>
          </cell>
          <cell r="E12" t="str">
            <v>15</v>
          </cell>
          <cell r="F12" t="str">
            <v>43</v>
          </cell>
          <cell r="G12" t="str">
            <v>43</v>
          </cell>
          <cell r="H12" t="str">
            <v>0</v>
          </cell>
          <cell r="I12" t="str">
            <v>100%</v>
          </cell>
          <cell r="J12" t="str">
            <v>84.40</v>
          </cell>
        </row>
        <row r="13">
          <cell r="B13" t="str">
            <v>李东升</v>
          </cell>
          <cell r="C13" t="str">
            <v>1261</v>
          </cell>
          <cell r="D13" t="str">
            <v>184</v>
          </cell>
          <cell r="E13" t="str">
            <v>15</v>
          </cell>
          <cell r="F13" t="str">
            <v>43</v>
          </cell>
          <cell r="G13" t="str">
            <v>43</v>
          </cell>
          <cell r="H13" t="str">
            <v>0</v>
          </cell>
          <cell r="I13" t="str">
            <v>100%</v>
          </cell>
          <cell r="J13" t="str">
            <v>84.07</v>
          </cell>
        </row>
        <row r="14">
          <cell r="B14" t="str">
            <v>党锦烙</v>
          </cell>
          <cell r="C14" t="str">
            <v>1259</v>
          </cell>
          <cell r="D14" t="str">
            <v>184</v>
          </cell>
          <cell r="E14" t="str">
            <v>15</v>
          </cell>
          <cell r="F14" t="str">
            <v>43</v>
          </cell>
          <cell r="G14" t="str">
            <v>43</v>
          </cell>
          <cell r="H14" t="str">
            <v>0</v>
          </cell>
          <cell r="I14" t="str">
            <v>100%</v>
          </cell>
          <cell r="J14" t="str">
            <v>83.93</v>
          </cell>
        </row>
        <row r="15">
          <cell r="B15" t="str">
            <v>周桓溪</v>
          </cell>
          <cell r="C15" t="str">
            <v>1258</v>
          </cell>
          <cell r="D15" t="str">
            <v>184</v>
          </cell>
          <cell r="E15" t="str">
            <v>15</v>
          </cell>
          <cell r="F15" t="str">
            <v>43</v>
          </cell>
          <cell r="G15" t="str">
            <v>43</v>
          </cell>
          <cell r="H15" t="str">
            <v>0</v>
          </cell>
          <cell r="I15" t="str">
            <v>100%</v>
          </cell>
          <cell r="J15" t="str">
            <v>83.87</v>
          </cell>
        </row>
        <row r="16">
          <cell r="B16" t="str">
            <v>王卓</v>
          </cell>
          <cell r="C16" t="str">
            <v>1255</v>
          </cell>
          <cell r="D16" t="str">
            <v>184</v>
          </cell>
          <cell r="E16" t="str">
            <v>15</v>
          </cell>
          <cell r="F16" t="str">
            <v>43</v>
          </cell>
          <cell r="G16" t="str">
            <v>43</v>
          </cell>
          <cell r="H16" t="str">
            <v>0</v>
          </cell>
          <cell r="I16" t="str">
            <v>100%</v>
          </cell>
          <cell r="J16" t="str">
            <v>83.67</v>
          </cell>
        </row>
        <row r="17">
          <cell r="B17" t="str">
            <v>朱雨涵</v>
          </cell>
          <cell r="C17" t="str">
            <v>1254</v>
          </cell>
          <cell r="D17" t="str">
            <v>184</v>
          </cell>
          <cell r="E17" t="str">
            <v>15</v>
          </cell>
          <cell r="F17" t="str">
            <v>43</v>
          </cell>
          <cell r="G17" t="str">
            <v>43</v>
          </cell>
          <cell r="H17" t="str">
            <v>0</v>
          </cell>
          <cell r="I17" t="str">
            <v>100%</v>
          </cell>
          <cell r="J17" t="str">
            <v>83.60</v>
          </cell>
        </row>
        <row r="18">
          <cell r="B18" t="str">
            <v>曾宏伟</v>
          </cell>
          <cell r="C18" t="str">
            <v>1251</v>
          </cell>
          <cell r="D18" t="str">
            <v>184</v>
          </cell>
          <cell r="E18" t="str">
            <v>15</v>
          </cell>
          <cell r="F18" t="str">
            <v>43</v>
          </cell>
          <cell r="G18" t="str">
            <v>43</v>
          </cell>
          <cell r="H18" t="str">
            <v>0</v>
          </cell>
          <cell r="I18" t="str">
            <v>100%</v>
          </cell>
          <cell r="J18" t="str">
            <v>83.40</v>
          </cell>
        </row>
        <row r="19">
          <cell r="B19" t="str">
            <v>陈晓栋</v>
          </cell>
          <cell r="C19" t="str">
            <v>1250</v>
          </cell>
          <cell r="D19" t="str">
            <v>184</v>
          </cell>
          <cell r="E19" t="str">
            <v>15</v>
          </cell>
          <cell r="F19" t="str">
            <v>43</v>
          </cell>
          <cell r="G19" t="str">
            <v>43</v>
          </cell>
          <cell r="H19" t="str">
            <v>0</v>
          </cell>
          <cell r="I19" t="str">
            <v>100%</v>
          </cell>
          <cell r="J19" t="str">
            <v>83.33</v>
          </cell>
        </row>
        <row r="20">
          <cell r="B20" t="str">
            <v>邹玉洁</v>
          </cell>
          <cell r="C20" t="str">
            <v>1246</v>
          </cell>
          <cell r="D20" t="str">
            <v>184</v>
          </cell>
          <cell r="E20" t="str">
            <v>15</v>
          </cell>
          <cell r="F20" t="str">
            <v>43</v>
          </cell>
          <cell r="G20" t="str">
            <v>43</v>
          </cell>
          <cell r="H20" t="str">
            <v>0</v>
          </cell>
          <cell r="I20" t="str">
            <v>100%</v>
          </cell>
          <cell r="J20" t="str">
            <v>83.07</v>
          </cell>
        </row>
        <row r="21">
          <cell r="B21" t="str">
            <v>许李</v>
          </cell>
          <cell r="C21" t="str">
            <v>1245</v>
          </cell>
          <cell r="D21" t="str">
            <v>184</v>
          </cell>
          <cell r="E21" t="str">
            <v>15</v>
          </cell>
          <cell r="F21" t="str">
            <v>43</v>
          </cell>
          <cell r="G21" t="str">
            <v>43</v>
          </cell>
          <cell r="H21" t="str">
            <v>0</v>
          </cell>
          <cell r="I21" t="str">
            <v>100%</v>
          </cell>
          <cell r="J21" t="str">
            <v>83.00</v>
          </cell>
        </row>
        <row r="22">
          <cell r="B22" t="str">
            <v>张杰</v>
          </cell>
          <cell r="C22" t="str">
            <v>1237</v>
          </cell>
          <cell r="D22" t="str">
            <v>184</v>
          </cell>
          <cell r="E22" t="str">
            <v>15</v>
          </cell>
          <cell r="F22" t="str">
            <v>43</v>
          </cell>
          <cell r="G22" t="str">
            <v>43</v>
          </cell>
          <cell r="H22" t="str">
            <v>0</v>
          </cell>
          <cell r="I22" t="str">
            <v>100%</v>
          </cell>
          <cell r="J22" t="str">
            <v>82.47</v>
          </cell>
        </row>
        <row r="23">
          <cell r="B23" t="str">
            <v>金谷伦</v>
          </cell>
          <cell r="C23" t="str">
            <v>1232</v>
          </cell>
          <cell r="D23" t="str">
            <v>184</v>
          </cell>
          <cell r="E23" t="str">
            <v>15</v>
          </cell>
          <cell r="F23" t="str">
            <v>43</v>
          </cell>
          <cell r="G23" t="str">
            <v>43</v>
          </cell>
          <cell r="H23" t="str">
            <v>0</v>
          </cell>
          <cell r="I23" t="str">
            <v>100%</v>
          </cell>
          <cell r="J23" t="str">
            <v>82.13</v>
          </cell>
        </row>
        <row r="24">
          <cell r="B24" t="str">
            <v>刘欣蕊</v>
          </cell>
          <cell r="C24" t="str">
            <v>1223</v>
          </cell>
          <cell r="D24" t="str">
            <v>184</v>
          </cell>
          <cell r="E24" t="str">
            <v>15</v>
          </cell>
          <cell r="F24" t="str">
            <v>43</v>
          </cell>
          <cell r="G24" t="str">
            <v>43</v>
          </cell>
          <cell r="H24" t="str">
            <v>0</v>
          </cell>
          <cell r="I24" t="str">
            <v>100%</v>
          </cell>
          <cell r="J24" t="str">
            <v>81.53</v>
          </cell>
        </row>
        <row r="25">
          <cell r="B25" t="str">
            <v>焦伟霜</v>
          </cell>
          <cell r="C25" t="str">
            <v>1220</v>
          </cell>
          <cell r="D25" t="str">
            <v>184</v>
          </cell>
          <cell r="E25" t="str">
            <v>15</v>
          </cell>
          <cell r="F25" t="str">
            <v>43</v>
          </cell>
          <cell r="G25" t="str">
            <v>43</v>
          </cell>
          <cell r="H25" t="str">
            <v>0</v>
          </cell>
          <cell r="I25" t="str">
            <v>100%</v>
          </cell>
          <cell r="J25" t="str">
            <v>81.33</v>
          </cell>
        </row>
        <row r="26">
          <cell r="B26" t="str">
            <v>胡骏杰</v>
          </cell>
          <cell r="C26" t="str">
            <v>1218</v>
          </cell>
          <cell r="D26" t="str">
            <v>184</v>
          </cell>
          <cell r="E26" t="str">
            <v>15</v>
          </cell>
          <cell r="F26" t="str">
            <v>43</v>
          </cell>
          <cell r="G26" t="str">
            <v>43</v>
          </cell>
          <cell r="H26" t="str">
            <v>0</v>
          </cell>
          <cell r="I26" t="str">
            <v>100%</v>
          </cell>
          <cell r="J26" t="str">
            <v>81.20</v>
          </cell>
        </row>
        <row r="27">
          <cell r="B27" t="str">
            <v>熊蕊</v>
          </cell>
          <cell r="C27" t="str">
            <v>1217</v>
          </cell>
          <cell r="D27" t="str">
            <v>184</v>
          </cell>
          <cell r="E27" t="str">
            <v>15</v>
          </cell>
          <cell r="F27" t="str">
            <v>43</v>
          </cell>
          <cell r="G27" t="str">
            <v>43</v>
          </cell>
          <cell r="H27" t="str">
            <v>0</v>
          </cell>
          <cell r="I27" t="str">
            <v>100%</v>
          </cell>
          <cell r="J27" t="str">
            <v>81.13</v>
          </cell>
        </row>
        <row r="28">
          <cell r="B28" t="str">
            <v>张一帆</v>
          </cell>
          <cell r="C28" t="str">
            <v>1211</v>
          </cell>
          <cell r="D28" t="str">
            <v>184</v>
          </cell>
          <cell r="E28" t="str">
            <v>15</v>
          </cell>
          <cell r="F28" t="str">
            <v>43</v>
          </cell>
          <cell r="G28" t="str">
            <v>43</v>
          </cell>
          <cell r="H28" t="str">
            <v>0</v>
          </cell>
          <cell r="I28" t="str">
            <v>100%</v>
          </cell>
          <cell r="J28" t="str">
            <v>80.73</v>
          </cell>
        </row>
        <row r="29">
          <cell r="B29" t="str">
            <v>陶鹏程</v>
          </cell>
          <cell r="C29" t="str">
            <v>1186</v>
          </cell>
          <cell r="D29" t="str">
            <v>184</v>
          </cell>
          <cell r="E29" t="str">
            <v>15</v>
          </cell>
          <cell r="F29" t="str">
            <v>43</v>
          </cell>
          <cell r="G29" t="str">
            <v>43</v>
          </cell>
          <cell r="H29" t="str">
            <v>0</v>
          </cell>
          <cell r="I29" t="str">
            <v>100%</v>
          </cell>
          <cell r="J29" t="str">
            <v>79.07</v>
          </cell>
        </row>
        <row r="30">
          <cell r="B30" t="str">
            <v>郑文静</v>
          </cell>
          <cell r="C30" t="str">
            <v>1182</v>
          </cell>
          <cell r="D30" t="str">
            <v>184</v>
          </cell>
          <cell r="E30" t="str">
            <v>15</v>
          </cell>
          <cell r="F30" t="str">
            <v>43</v>
          </cell>
          <cell r="G30" t="str">
            <v>43</v>
          </cell>
          <cell r="H30" t="str">
            <v>0</v>
          </cell>
          <cell r="I30" t="str">
            <v>100%</v>
          </cell>
          <cell r="J30" t="str">
            <v>78.80</v>
          </cell>
        </row>
        <row r="31">
          <cell r="B31" t="str">
            <v>刘福斌</v>
          </cell>
          <cell r="C31" t="str">
            <v>1179</v>
          </cell>
          <cell r="D31" t="str">
            <v>184</v>
          </cell>
          <cell r="E31" t="str">
            <v>15</v>
          </cell>
          <cell r="F31" t="str">
            <v>43</v>
          </cell>
          <cell r="G31" t="str">
            <v>43</v>
          </cell>
          <cell r="H31" t="str">
            <v>0</v>
          </cell>
          <cell r="I31" t="str">
            <v>100%</v>
          </cell>
          <cell r="J31" t="str">
            <v>78.60</v>
          </cell>
        </row>
        <row r="32">
          <cell r="B32" t="str">
            <v>张梦婷</v>
          </cell>
          <cell r="C32" t="str">
            <v>1178</v>
          </cell>
          <cell r="D32" t="str">
            <v>184</v>
          </cell>
          <cell r="E32" t="str">
            <v>15</v>
          </cell>
          <cell r="F32" t="str">
            <v>43</v>
          </cell>
          <cell r="G32" t="str">
            <v>43</v>
          </cell>
          <cell r="H32" t="str">
            <v>0</v>
          </cell>
          <cell r="I32" t="str">
            <v>100%</v>
          </cell>
          <cell r="J32" t="str">
            <v>78.53</v>
          </cell>
        </row>
        <row r="33">
          <cell r="B33" t="str">
            <v>石新旺</v>
          </cell>
          <cell r="C33" t="str">
            <v>1178</v>
          </cell>
          <cell r="D33" t="str">
            <v>184</v>
          </cell>
          <cell r="E33" t="str">
            <v>15</v>
          </cell>
          <cell r="F33" t="str">
            <v>43</v>
          </cell>
          <cell r="G33" t="str">
            <v>43</v>
          </cell>
          <cell r="H33" t="str">
            <v>0</v>
          </cell>
          <cell r="I33" t="str">
            <v>100%</v>
          </cell>
          <cell r="J33" t="str">
            <v>78.53</v>
          </cell>
        </row>
        <row r="34">
          <cell r="B34" t="str">
            <v>丁开盛</v>
          </cell>
          <cell r="C34" t="str">
            <v>1174</v>
          </cell>
          <cell r="D34" t="str">
            <v>184</v>
          </cell>
          <cell r="E34" t="str">
            <v>15</v>
          </cell>
          <cell r="F34" t="str">
            <v>43</v>
          </cell>
          <cell r="G34" t="str">
            <v>43</v>
          </cell>
          <cell r="H34" t="str">
            <v>0</v>
          </cell>
          <cell r="I34" t="str">
            <v>100%</v>
          </cell>
          <cell r="J34" t="str">
            <v>78.27</v>
          </cell>
        </row>
        <row r="35">
          <cell r="B35" t="str">
            <v>闫鑫</v>
          </cell>
          <cell r="C35" t="str">
            <v>1157</v>
          </cell>
          <cell r="D35" t="str">
            <v>184</v>
          </cell>
          <cell r="E35" t="str">
            <v>15</v>
          </cell>
          <cell r="F35" t="str">
            <v>43</v>
          </cell>
          <cell r="G35" t="str">
            <v>43</v>
          </cell>
          <cell r="H35" t="str">
            <v>0</v>
          </cell>
          <cell r="I35" t="str">
            <v>100%</v>
          </cell>
          <cell r="J35" t="str">
            <v>77.13</v>
          </cell>
        </row>
        <row r="36">
          <cell r="B36" t="str">
            <v>沈帅</v>
          </cell>
          <cell r="C36" t="str">
            <v>1155</v>
          </cell>
          <cell r="D36" t="str">
            <v>184</v>
          </cell>
          <cell r="E36" t="str">
            <v>15</v>
          </cell>
          <cell r="F36" t="str">
            <v>43</v>
          </cell>
          <cell r="G36" t="str">
            <v>43</v>
          </cell>
          <cell r="H36" t="str">
            <v>0</v>
          </cell>
          <cell r="I36" t="str">
            <v>100%</v>
          </cell>
          <cell r="J36" t="str">
            <v>77.00</v>
          </cell>
        </row>
        <row r="37">
          <cell r="B37" t="str">
            <v>宋汶斋</v>
          </cell>
          <cell r="C37" t="str">
            <v>1151</v>
          </cell>
          <cell r="D37" t="str">
            <v>184</v>
          </cell>
          <cell r="E37" t="str">
            <v>15</v>
          </cell>
          <cell r="F37" t="str">
            <v>43</v>
          </cell>
          <cell r="G37" t="str">
            <v>43</v>
          </cell>
          <cell r="H37" t="str">
            <v>0</v>
          </cell>
          <cell r="I37" t="str">
            <v>100%</v>
          </cell>
          <cell r="J37" t="str">
            <v>76.73</v>
          </cell>
        </row>
        <row r="38">
          <cell r="B38" t="str">
            <v>刘文东</v>
          </cell>
          <cell r="C38" t="str">
            <v>1116</v>
          </cell>
          <cell r="D38" t="str">
            <v>184</v>
          </cell>
          <cell r="E38" t="str">
            <v>15</v>
          </cell>
          <cell r="F38" t="str">
            <v>43</v>
          </cell>
          <cell r="G38" t="str">
            <v>39</v>
          </cell>
          <cell r="H38" t="str">
            <v>4</v>
          </cell>
          <cell r="I38" t="str">
            <v>93.33%</v>
          </cell>
          <cell r="J38" t="str">
            <v>74.40</v>
          </cell>
        </row>
        <row r="39">
          <cell r="B39" t="str">
            <v>张鹤腾</v>
          </cell>
          <cell r="C39" t="str">
            <v>1099</v>
          </cell>
          <cell r="D39" t="str">
            <v>184</v>
          </cell>
          <cell r="E39" t="str">
            <v>15</v>
          </cell>
          <cell r="F39" t="str">
            <v>43</v>
          </cell>
          <cell r="G39" t="str">
            <v>39</v>
          </cell>
          <cell r="H39" t="str">
            <v>4</v>
          </cell>
          <cell r="I39" t="str">
            <v>93.33%</v>
          </cell>
          <cell r="J39" t="str">
            <v>73.27</v>
          </cell>
        </row>
        <row r="40">
          <cell r="B40" t="str">
            <v>陈钱</v>
          </cell>
          <cell r="C40" t="str">
            <v>1096</v>
          </cell>
          <cell r="D40" t="str">
            <v>184</v>
          </cell>
          <cell r="E40" t="str">
            <v>15</v>
          </cell>
          <cell r="F40" t="str">
            <v>43</v>
          </cell>
          <cell r="G40" t="str">
            <v>43</v>
          </cell>
          <cell r="H40" t="str">
            <v>0</v>
          </cell>
          <cell r="I40" t="str">
            <v>100%</v>
          </cell>
          <cell r="J40" t="str">
            <v>73.07</v>
          </cell>
        </row>
        <row r="41">
          <cell r="B41" t="str">
            <v>王贻嘉</v>
          </cell>
          <cell r="C41" t="str">
            <v>1095</v>
          </cell>
          <cell r="D41" t="str">
            <v>184</v>
          </cell>
          <cell r="E41" t="str">
            <v>15</v>
          </cell>
          <cell r="F41" t="str">
            <v>43</v>
          </cell>
          <cell r="G41" t="str">
            <v>43</v>
          </cell>
          <cell r="H41" t="str">
            <v>0</v>
          </cell>
          <cell r="I41" t="str">
            <v>100%</v>
          </cell>
          <cell r="J41" t="str">
            <v>73.00</v>
          </cell>
        </row>
        <row r="42">
          <cell r="B42" t="str">
            <v>唐浩源</v>
          </cell>
          <cell r="C42" t="str">
            <v>1071</v>
          </cell>
          <cell r="D42" t="str">
            <v>184</v>
          </cell>
          <cell r="E42" t="str">
            <v>15</v>
          </cell>
          <cell r="F42" t="str">
            <v>43</v>
          </cell>
          <cell r="G42" t="str">
            <v>43</v>
          </cell>
          <cell r="H42" t="str">
            <v>0</v>
          </cell>
          <cell r="I42" t="str">
            <v>100%</v>
          </cell>
          <cell r="J42" t="str">
            <v>71.40</v>
          </cell>
        </row>
        <row r="43">
          <cell r="B43" t="str">
            <v>杨鸿凯</v>
          </cell>
          <cell r="C43" t="str">
            <v>1032</v>
          </cell>
          <cell r="D43" t="str">
            <v>184</v>
          </cell>
          <cell r="E43" t="str">
            <v>15</v>
          </cell>
          <cell r="F43" t="str">
            <v>43</v>
          </cell>
          <cell r="G43" t="str">
            <v>41</v>
          </cell>
          <cell r="H43" t="str">
            <v>2</v>
          </cell>
          <cell r="I43" t="str">
            <v>93.33%</v>
          </cell>
          <cell r="J43" t="str">
            <v>68.80</v>
          </cell>
        </row>
        <row r="44">
          <cell r="B44" t="str">
            <v>王尧瑄</v>
          </cell>
          <cell r="C44" t="str">
            <v>946</v>
          </cell>
          <cell r="D44" t="str">
            <v>184</v>
          </cell>
          <cell r="E44" t="str">
            <v>15</v>
          </cell>
          <cell r="F44" t="str">
            <v>43</v>
          </cell>
          <cell r="G44" t="str">
            <v>28</v>
          </cell>
          <cell r="H44" t="str">
            <v>15</v>
          </cell>
          <cell r="I44" t="str">
            <v>66.67%</v>
          </cell>
          <cell r="J44" t="str">
            <v>63.07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综测总分"/>
      <sheetName val="R1"/>
      <sheetName val="R2"/>
      <sheetName val="G"/>
      <sheetName val="H"/>
      <sheetName val="Sheet4"/>
    </sheetNames>
    <sheetDataSet>
      <sheetData sheetId="0" refreshError="1"/>
      <sheetData sheetId="1" refreshError="1">
        <row r="2">
          <cell r="C2" t="str">
            <v>刘畅</v>
          </cell>
          <cell r="D2">
            <v>20</v>
          </cell>
          <cell r="E2">
            <v>20</v>
          </cell>
          <cell r="F2">
            <v>15</v>
          </cell>
          <cell r="G2">
            <v>15</v>
          </cell>
          <cell r="H2">
            <v>15</v>
          </cell>
          <cell r="I2">
            <v>15</v>
          </cell>
          <cell r="J2">
            <v>100</v>
          </cell>
        </row>
        <row r="3">
          <cell r="C3" t="str">
            <v>吕文龙</v>
          </cell>
          <cell r="D3">
            <v>20</v>
          </cell>
          <cell r="E3">
            <v>20</v>
          </cell>
          <cell r="F3">
            <v>15</v>
          </cell>
          <cell r="G3">
            <v>15</v>
          </cell>
          <cell r="H3">
            <v>15</v>
          </cell>
          <cell r="I3">
            <v>15</v>
          </cell>
          <cell r="J3">
            <v>100</v>
          </cell>
        </row>
        <row r="4">
          <cell r="C4" t="str">
            <v>秦孟泽</v>
          </cell>
          <cell r="D4">
            <v>20</v>
          </cell>
          <cell r="E4">
            <v>20</v>
          </cell>
          <cell r="F4">
            <v>15</v>
          </cell>
          <cell r="G4">
            <v>15</v>
          </cell>
          <cell r="H4">
            <v>15</v>
          </cell>
          <cell r="I4">
            <v>15</v>
          </cell>
          <cell r="J4">
            <v>100</v>
          </cell>
        </row>
        <row r="5">
          <cell r="C5" t="str">
            <v>侍承屿</v>
          </cell>
          <cell r="D5">
            <v>20</v>
          </cell>
          <cell r="E5">
            <v>20</v>
          </cell>
          <cell r="F5">
            <v>15</v>
          </cell>
          <cell r="G5">
            <v>15</v>
          </cell>
          <cell r="H5">
            <v>15</v>
          </cell>
          <cell r="I5">
            <v>15</v>
          </cell>
          <cell r="J5">
            <v>100</v>
          </cell>
        </row>
        <row r="6">
          <cell r="C6" t="str">
            <v>窦婉心</v>
          </cell>
          <cell r="D6">
            <v>20</v>
          </cell>
          <cell r="E6">
            <v>20</v>
          </cell>
          <cell r="F6">
            <v>15</v>
          </cell>
          <cell r="G6">
            <v>15</v>
          </cell>
          <cell r="H6">
            <v>15</v>
          </cell>
          <cell r="I6">
            <v>15</v>
          </cell>
          <cell r="J6">
            <v>100</v>
          </cell>
        </row>
        <row r="7">
          <cell r="C7" t="str">
            <v>卢雅琴</v>
          </cell>
          <cell r="D7">
            <v>20</v>
          </cell>
          <cell r="E7">
            <v>20</v>
          </cell>
          <cell r="F7">
            <v>15</v>
          </cell>
          <cell r="G7">
            <v>15</v>
          </cell>
          <cell r="H7">
            <v>15</v>
          </cell>
          <cell r="I7">
            <v>15</v>
          </cell>
          <cell r="J7">
            <v>100</v>
          </cell>
        </row>
        <row r="8">
          <cell r="C8" t="str">
            <v>马淑琴</v>
          </cell>
          <cell r="D8">
            <v>20</v>
          </cell>
          <cell r="E8">
            <v>20</v>
          </cell>
          <cell r="F8">
            <v>15</v>
          </cell>
          <cell r="G8">
            <v>15</v>
          </cell>
          <cell r="H8">
            <v>15</v>
          </cell>
          <cell r="I8">
            <v>15</v>
          </cell>
          <cell r="J8">
            <v>100</v>
          </cell>
        </row>
        <row r="9">
          <cell r="C9" t="str">
            <v>徐妍</v>
          </cell>
          <cell r="D9">
            <v>20</v>
          </cell>
          <cell r="E9">
            <v>20</v>
          </cell>
          <cell r="F9">
            <v>15</v>
          </cell>
          <cell r="G9">
            <v>15</v>
          </cell>
          <cell r="H9">
            <v>15</v>
          </cell>
          <cell r="I9">
            <v>15</v>
          </cell>
          <cell r="J9">
            <v>100</v>
          </cell>
        </row>
        <row r="10">
          <cell r="C10" t="str">
            <v>陈昊</v>
          </cell>
          <cell r="D10">
            <v>20</v>
          </cell>
          <cell r="E10">
            <v>20</v>
          </cell>
          <cell r="F10">
            <v>15</v>
          </cell>
          <cell r="G10">
            <v>15</v>
          </cell>
          <cell r="H10">
            <v>14</v>
          </cell>
          <cell r="I10">
            <v>15</v>
          </cell>
          <cell r="J10">
            <v>99</v>
          </cell>
        </row>
        <row r="11">
          <cell r="C11" t="str">
            <v>李阳杰</v>
          </cell>
          <cell r="D11">
            <v>20</v>
          </cell>
          <cell r="E11">
            <v>20</v>
          </cell>
          <cell r="F11">
            <v>15</v>
          </cell>
          <cell r="G11">
            <v>15</v>
          </cell>
          <cell r="H11">
            <v>15</v>
          </cell>
          <cell r="I11">
            <v>14</v>
          </cell>
          <cell r="J11">
            <v>99</v>
          </cell>
        </row>
        <row r="12">
          <cell r="C12" t="str">
            <v>秦晋</v>
          </cell>
          <cell r="D12">
            <v>20</v>
          </cell>
          <cell r="E12">
            <v>20</v>
          </cell>
          <cell r="F12">
            <v>14</v>
          </cell>
          <cell r="G12">
            <v>15</v>
          </cell>
          <cell r="H12">
            <v>15</v>
          </cell>
          <cell r="I12">
            <v>15</v>
          </cell>
          <cell r="J12">
            <v>99</v>
          </cell>
        </row>
        <row r="13">
          <cell r="C13" t="str">
            <v>秦延</v>
          </cell>
          <cell r="D13">
            <v>20</v>
          </cell>
          <cell r="E13">
            <v>20</v>
          </cell>
          <cell r="F13">
            <v>14</v>
          </cell>
          <cell r="G13">
            <v>15</v>
          </cell>
          <cell r="H13">
            <v>15</v>
          </cell>
          <cell r="I13">
            <v>15</v>
          </cell>
          <cell r="J13">
            <v>99</v>
          </cell>
        </row>
        <row r="14">
          <cell r="C14" t="str">
            <v>王前锦</v>
          </cell>
          <cell r="D14">
            <v>20</v>
          </cell>
          <cell r="E14">
            <v>20</v>
          </cell>
          <cell r="F14">
            <v>14</v>
          </cell>
          <cell r="G14">
            <v>15</v>
          </cell>
          <cell r="H14">
            <v>15</v>
          </cell>
          <cell r="I14">
            <v>15</v>
          </cell>
          <cell r="J14">
            <v>99</v>
          </cell>
        </row>
        <row r="15">
          <cell r="C15" t="str">
            <v>徐淮阳</v>
          </cell>
          <cell r="D15">
            <v>20</v>
          </cell>
          <cell r="E15">
            <v>20</v>
          </cell>
          <cell r="F15">
            <v>15</v>
          </cell>
          <cell r="G15">
            <v>15</v>
          </cell>
          <cell r="H15">
            <v>14</v>
          </cell>
          <cell r="I15">
            <v>15</v>
          </cell>
          <cell r="J15">
            <v>99</v>
          </cell>
        </row>
        <row r="16">
          <cell r="C16" t="str">
            <v>游邦杰</v>
          </cell>
          <cell r="D16">
            <v>20</v>
          </cell>
          <cell r="E16">
            <v>20</v>
          </cell>
          <cell r="F16">
            <v>14</v>
          </cell>
          <cell r="G16">
            <v>15</v>
          </cell>
          <cell r="H16">
            <v>15</v>
          </cell>
          <cell r="I16">
            <v>15</v>
          </cell>
          <cell r="J16">
            <v>99</v>
          </cell>
        </row>
        <row r="17">
          <cell r="C17" t="str">
            <v>周鑫</v>
          </cell>
          <cell r="D17">
            <v>20</v>
          </cell>
          <cell r="E17">
            <v>20</v>
          </cell>
          <cell r="F17">
            <v>15</v>
          </cell>
          <cell r="G17">
            <v>15</v>
          </cell>
          <cell r="H17">
            <v>15</v>
          </cell>
          <cell r="I17">
            <v>14</v>
          </cell>
          <cell r="J17">
            <v>99</v>
          </cell>
        </row>
        <row r="18">
          <cell r="C18" t="str">
            <v>左一博</v>
          </cell>
          <cell r="D18">
            <v>20</v>
          </cell>
          <cell r="E18">
            <v>20</v>
          </cell>
          <cell r="F18">
            <v>14</v>
          </cell>
          <cell r="G18">
            <v>15</v>
          </cell>
          <cell r="H18">
            <v>15</v>
          </cell>
          <cell r="I18">
            <v>15</v>
          </cell>
          <cell r="J18">
            <v>99</v>
          </cell>
        </row>
        <row r="19">
          <cell r="C19" t="str">
            <v>李爱嘉</v>
          </cell>
          <cell r="D19">
            <v>20</v>
          </cell>
          <cell r="E19">
            <v>20</v>
          </cell>
          <cell r="F19">
            <v>14</v>
          </cell>
          <cell r="G19">
            <v>15</v>
          </cell>
          <cell r="H19">
            <v>15</v>
          </cell>
          <cell r="I19">
            <v>15</v>
          </cell>
          <cell r="J19">
            <v>99</v>
          </cell>
        </row>
        <row r="20">
          <cell r="C20" t="str">
            <v>梅珂</v>
          </cell>
          <cell r="D20">
            <v>20</v>
          </cell>
          <cell r="E20">
            <v>20</v>
          </cell>
          <cell r="F20">
            <v>15</v>
          </cell>
          <cell r="G20">
            <v>15</v>
          </cell>
          <cell r="H20">
            <v>14</v>
          </cell>
          <cell r="I20">
            <v>15</v>
          </cell>
          <cell r="J20">
            <v>99</v>
          </cell>
        </row>
        <row r="21">
          <cell r="C21" t="str">
            <v>史静雯</v>
          </cell>
          <cell r="D21">
            <v>20</v>
          </cell>
          <cell r="E21">
            <v>20</v>
          </cell>
          <cell r="F21">
            <v>15</v>
          </cell>
          <cell r="G21">
            <v>15</v>
          </cell>
          <cell r="H21">
            <v>14</v>
          </cell>
          <cell r="I21">
            <v>15</v>
          </cell>
          <cell r="J21">
            <v>99</v>
          </cell>
        </row>
        <row r="22">
          <cell r="C22" t="str">
            <v>王楚韵</v>
          </cell>
          <cell r="D22">
            <v>20</v>
          </cell>
          <cell r="E22">
            <v>20</v>
          </cell>
          <cell r="F22">
            <v>15</v>
          </cell>
          <cell r="G22">
            <v>15</v>
          </cell>
          <cell r="H22">
            <v>14</v>
          </cell>
          <cell r="I22">
            <v>15</v>
          </cell>
          <cell r="J22">
            <v>99</v>
          </cell>
        </row>
        <row r="23">
          <cell r="C23" t="str">
            <v>王梅玫</v>
          </cell>
          <cell r="D23">
            <v>20</v>
          </cell>
          <cell r="E23">
            <v>20</v>
          </cell>
          <cell r="F23">
            <v>15</v>
          </cell>
          <cell r="G23">
            <v>15</v>
          </cell>
          <cell r="H23">
            <v>14</v>
          </cell>
          <cell r="I23">
            <v>15</v>
          </cell>
          <cell r="J23">
            <v>99</v>
          </cell>
        </row>
        <row r="24">
          <cell r="C24" t="str">
            <v>张子涵</v>
          </cell>
          <cell r="D24">
            <v>20</v>
          </cell>
          <cell r="E24">
            <v>20</v>
          </cell>
          <cell r="F24">
            <v>14</v>
          </cell>
          <cell r="G24">
            <v>15</v>
          </cell>
          <cell r="H24">
            <v>15</v>
          </cell>
          <cell r="I24">
            <v>15</v>
          </cell>
          <cell r="J24">
            <v>99</v>
          </cell>
        </row>
        <row r="25">
          <cell r="C25" t="str">
            <v>蔡宇晨</v>
          </cell>
          <cell r="D25">
            <v>20</v>
          </cell>
          <cell r="E25">
            <v>20</v>
          </cell>
          <cell r="F25">
            <v>14</v>
          </cell>
          <cell r="G25">
            <v>15</v>
          </cell>
          <cell r="H25">
            <v>14</v>
          </cell>
          <cell r="I25">
            <v>15</v>
          </cell>
          <cell r="J25">
            <v>98</v>
          </cell>
        </row>
        <row r="26">
          <cell r="C26" t="str">
            <v>杜汶峰</v>
          </cell>
          <cell r="D26">
            <v>20</v>
          </cell>
          <cell r="E26">
            <v>20</v>
          </cell>
          <cell r="F26">
            <v>14</v>
          </cell>
          <cell r="G26">
            <v>15</v>
          </cell>
          <cell r="H26">
            <v>15</v>
          </cell>
          <cell r="I26">
            <v>14</v>
          </cell>
          <cell r="J26">
            <v>98</v>
          </cell>
        </row>
        <row r="27">
          <cell r="C27" t="str">
            <v>范思成</v>
          </cell>
          <cell r="D27">
            <v>20</v>
          </cell>
          <cell r="E27">
            <v>20</v>
          </cell>
          <cell r="F27">
            <v>14</v>
          </cell>
          <cell r="G27">
            <v>15</v>
          </cell>
          <cell r="H27">
            <v>14</v>
          </cell>
          <cell r="I27">
            <v>15</v>
          </cell>
          <cell r="J27">
            <v>98</v>
          </cell>
        </row>
        <row r="28">
          <cell r="C28" t="str">
            <v>张玉泉</v>
          </cell>
          <cell r="D28">
            <v>20</v>
          </cell>
          <cell r="E28">
            <v>20</v>
          </cell>
          <cell r="F28">
            <v>15</v>
          </cell>
          <cell r="G28">
            <v>15</v>
          </cell>
          <cell r="H28">
            <v>14</v>
          </cell>
          <cell r="I28">
            <v>14</v>
          </cell>
          <cell r="J28">
            <v>98</v>
          </cell>
        </row>
        <row r="29">
          <cell r="C29" t="str">
            <v>李超辉</v>
          </cell>
          <cell r="D29">
            <v>20</v>
          </cell>
          <cell r="E29">
            <v>20</v>
          </cell>
          <cell r="F29">
            <v>14</v>
          </cell>
          <cell r="G29">
            <v>15</v>
          </cell>
          <cell r="H29">
            <v>14</v>
          </cell>
          <cell r="I29">
            <v>15</v>
          </cell>
          <cell r="J29">
            <v>98</v>
          </cell>
        </row>
        <row r="30">
          <cell r="C30" t="str">
            <v>张钰婷</v>
          </cell>
          <cell r="D30">
            <v>20</v>
          </cell>
          <cell r="E30">
            <v>20</v>
          </cell>
          <cell r="F30">
            <v>14</v>
          </cell>
          <cell r="G30">
            <v>15</v>
          </cell>
          <cell r="H30">
            <v>14</v>
          </cell>
          <cell r="I30">
            <v>15</v>
          </cell>
          <cell r="J30">
            <v>98</v>
          </cell>
        </row>
        <row r="31">
          <cell r="C31" t="str">
            <v>王悦琪</v>
          </cell>
          <cell r="D31">
            <v>20</v>
          </cell>
          <cell r="E31">
            <v>20</v>
          </cell>
          <cell r="F31">
            <v>14</v>
          </cell>
          <cell r="G31">
            <v>15</v>
          </cell>
          <cell r="H31">
            <v>14</v>
          </cell>
          <cell r="I31">
            <v>15</v>
          </cell>
          <cell r="J31">
            <v>98</v>
          </cell>
        </row>
        <row r="32">
          <cell r="C32" t="str">
            <v>王雅楠</v>
          </cell>
          <cell r="D32">
            <v>20</v>
          </cell>
          <cell r="E32">
            <v>20</v>
          </cell>
          <cell r="F32">
            <v>14</v>
          </cell>
          <cell r="G32">
            <v>15</v>
          </cell>
          <cell r="H32">
            <v>14</v>
          </cell>
          <cell r="I32">
            <v>15</v>
          </cell>
          <cell r="J32">
            <v>98</v>
          </cell>
        </row>
        <row r="33">
          <cell r="C33" t="str">
            <v>陈星屹</v>
          </cell>
          <cell r="D33">
            <v>20</v>
          </cell>
          <cell r="E33">
            <v>20</v>
          </cell>
          <cell r="F33">
            <v>14</v>
          </cell>
          <cell r="G33">
            <v>15</v>
          </cell>
          <cell r="H33">
            <v>13</v>
          </cell>
          <cell r="I33">
            <v>15</v>
          </cell>
          <cell r="J33">
            <v>97</v>
          </cell>
        </row>
        <row r="34">
          <cell r="C34" t="str">
            <v>李东航</v>
          </cell>
          <cell r="D34">
            <v>20</v>
          </cell>
          <cell r="E34">
            <v>20</v>
          </cell>
          <cell r="F34">
            <v>14</v>
          </cell>
          <cell r="G34">
            <v>15</v>
          </cell>
          <cell r="H34">
            <v>13</v>
          </cell>
          <cell r="I34">
            <v>15</v>
          </cell>
          <cell r="J34">
            <v>97</v>
          </cell>
        </row>
        <row r="35">
          <cell r="C35" t="str">
            <v>林鑫芊</v>
          </cell>
          <cell r="D35">
            <v>20</v>
          </cell>
          <cell r="E35">
            <v>20</v>
          </cell>
          <cell r="F35">
            <v>14</v>
          </cell>
          <cell r="G35">
            <v>15</v>
          </cell>
          <cell r="H35">
            <v>13</v>
          </cell>
          <cell r="I35">
            <v>15</v>
          </cell>
          <cell r="J35">
            <v>97</v>
          </cell>
        </row>
        <row r="36">
          <cell r="C36" t="str">
            <v>王昱博</v>
          </cell>
          <cell r="D36">
            <v>20</v>
          </cell>
          <cell r="E36">
            <v>20</v>
          </cell>
          <cell r="F36">
            <v>15</v>
          </cell>
          <cell r="G36">
            <v>15</v>
          </cell>
          <cell r="H36">
            <v>13</v>
          </cell>
          <cell r="I36">
            <v>14</v>
          </cell>
          <cell r="J36">
            <v>97</v>
          </cell>
        </row>
        <row r="37">
          <cell r="C37" t="str">
            <v>叶永清</v>
          </cell>
          <cell r="D37">
            <v>20</v>
          </cell>
          <cell r="E37">
            <v>20</v>
          </cell>
          <cell r="F37">
            <v>14</v>
          </cell>
          <cell r="G37">
            <v>15</v>
          </cell>
          <cell r="H37">
            <v>13</v>
          </cell>
          <cell r="I37">
            <v>15</v>
          </cell>
          <cell r="J37">
            <v>97</v>
          </cell>
        </row>
        <row r="38">
          <cell r="C38" t="str">
            <v>张蓝天</v>
          </cell>
          <cell r="D38">
            <v>20</v>
          </cell>
          <cell r="E38">
            <v>20</v>
          </cell>
          <cell r="F38">
            <v>14</v>
          </cell>
          <cell r="G38">
            <v>15</v>
          </cell>
          <cell r="H38">
            <v>13</v>
          </cell>
          <cell r="I38">
            <v>15</v>
          </cell>
          <cell r="J38">
            <v>97</v>
          </cell>
        </row>
        <row r="39">
          <cell r="C39" t="str">
            <v>齐骏涛</v>
          </cell>
          <cell r="D39">
            <v>20</v>
          </cell>
          <cell r="E39">
            <v>20</v>
          </cell>
          <cell r="F39">
            <v>14</v>
          </cell>
          <cell r="G39">
            <v>15</v>
          </cell>
          <cell r="H39">
            <v>12</v>
          </cell>
          <cell r="I39">
            <v>15</v>
          </cell>
          <cell r="J39">
            <v>96</v>
          </cell>
        </row>
        <row r="40">
          <cell r="C40" t="str">
            <v>杨欢</v>
          </cell>
          <cell r="D40">
            <v>20</v>
          </cell>
          <cell r="E40">
            <v>20</v>
          </cell>
          <cell r="F40">
            <v>14</v>
          </cell>
          <cell r="G40">
            <v>15</v>
          </cell>
          <cell r="H40">
            <v>13</v>
          </cell>
          <cell r="I40">
            <v>14</v>
          </cell>
          <cell r="J40">
            <v>96</v>
          </cell>
        </row>
        <row r="41">
          <cell r="C41" t="str">
            <v>丁钰芩</v>
          </cell>
          <cell r="D41">
            <v>20</v>
          </cell>
          <cell r="E41">
            <v>20</v>
          </cell>
          <cell r="F41">
            <v>13</v>
          </cell>
          <cell r="G41">
            <v>15</v>
          </cell>
          <cell r="H41">
            <v>13</v>
          </cell>
          <cell r="I41">
            <v>15</v>
          </cell>
          <cell r="J41">
            <v>96</v>
          </cell>
        </row>
        <row r="42">
          <cell r="C42" t="str">
            <v>钱铨</v>
          </cell>
          <cell r="D42">
            <v>20</v>
          </cell>
          <cell r="E42">
            <v>20</v>
          </cell>
          <cell r="F42">
            <v>13</v>
          </cell>
          <cell r="G42">
            <v>15</v>
          </cell>
          <cell r="H42">
            <v>13</v>
          </cell>
          <cell r="I42">
            <v>14</v>
          </cell>
          <cell r="J42">
            <v>95</v>
          </cell>
        </row>
      </sheetData>
      <sheetData sheetId="2" refreshError="1">
        <row r="2">
          <cell r="B2" t="str">
            <v>王梅玫</v>
          </cell>
          <cell r="C2" t="str">
            <v>1504</v>
          </cell>
          <cell r="D2" t="str">
            <v>89</v>
          </cell>
          <cell r="E2" t="str">
            <v>17</v>
          </cell>
          <cell r="F2" t="str">
            <v>43</v>
          </cell>
          <cell r="G2" t="str">
            <v>43</v>
          </cell>
          <cell r="H2" t="str">
            <v>0</v>
          </cell>
          <cell r="I2" t="str">
            <v>100%</v>
          </cell>
          <cell r="J2" t="str">
            <v>88.47</v>
          </cell>
        </row>
        <row r="3">
          <cell r="B3" t="str">
            <v>史静雯</v>
          </cell>
          <cell r="C3" t="str">
            <v>1474</v>
          </cell>
          <cell r="D3" t="str">
            <v>89</v>
          </cell>
          <cell r="E3" t="str">
            <v>17</v>
          </cell>
          <cell r="F3" t="str">
            <v>43</v>
          </cell>
          <cell r="G3" t="str">
            <v>43</v>
          </cell>
          <cell r="H3" t="str">
            <v>0</v>
          </cell>
          <cell r="I3" t="str">
            <v>100%</v>
          </cell>
          <cell r="J3" t="str">
            <v>86.71</v>
          </cell>
        </row>
        <row r="4">
          <cell r="B4" t="str">
            <v>张蓝天</v>
          </cell>
          <cell r="C4" t="str">
            <v>1470</v>
          </cell>
          <cell r="D4" t="str">
            <v>89</v>
          </cell>
          <cell r="E4" t="str">
            <v>17</v>
          </cell>
          <cell r="F4" t="str">
            <v>43</v>
          </cell>
          <cell r="G4" t="str">
            <v>43</v>
          </cell>
          <cell r="H4" t="str">
            <v>0</v>
          </cell>
          <cell r="I4" t="str">
            <v>100%</v>
          </cell>
          <cell r="J4" t="str">
            <v>86.47</v>
          </cell>
        </row>
        <row r="5">
          <cell r="B5" t="str">
            <v>梅珂</v>
          </cell>
          <cell r="C5" t="str">
            <v>1466</v>
          </cell>
          <cell r="D5" t="str">
            <v>89</v>
          </cell>
          <cell r="E5" t="str">
            <v>17</v>
          </cell>
          <cell r="F5" t="str">
            <v>43</v>
          </cell>
          <cell r="G5" t="str">
            <v>43</v>
          </cell>
          <cell r="H5" t="str">
            <v>0</v>
          </cell>
          <cell r="I5" t="str">
            <v>100%</v>
          </cell>
          <cell r="J5" t="str">
            <v>86.24</v>
          </cell>
        </row>
        <row r="6">
          <cell r="B6" t="str">
            <v>张玉泉</v>
          </cell>
          <cell r="C6" t="str">
            <v>1463</v>
          </cell>
          <cell r="D6" t="str">
            <v>89</v>
          </cell>
          <cell r="E6" t="str">
            <v>17</v>
          </cell>
          <cell r="F6" t="str">
            <v>43</v>
          </cell>
          <cell r="G6" t="str">
            <v>43</v>
          </cell>
          <cell r="H6" t="str">
            <v>0</v>
          </cell>
          <cell r="I6" t="str">
            <v>100%</v>
          </cell>
          <cell r="J6" t="str">
            <v>86.06</v>
          </cell>
        </row>
        <row r="7">
          <cell r="B7" t="str">
            <v>王雅楠</v>
          </cell>
          <cell r="C7" t="str">
            <v>1458</v>
          </cell>
          <cell r="D7" t="str">
            <v>89</v>
          </cell>
          <cell r="E7" t="str">
            <v>17</v>
          </cell>
          <cell r="F7" t="str">
            <v>43</v>
          </cell>
          <cell r="G7" t="str">
            <v>43</v>
          </cell>
          <cell r="H7" t="str">
            <v>0</v>
          </cell>
          <cell r="I7" t="str">
            <v>100%</v>
          </cell>
          <cell r="J7" t="str">
            <v>85.76</v>
          </cell>
        </row>
        <row r="8">
          <cell r="B8" t="str">
            <v>张子涵</v>
          </cell>
          <cell r="C8" t="str">
            <v>1451</v>
          </cell>
          <cell r="D8" t="str">
            <v>89</v>
          </cell>
          <cell r="E8" t="str">
            <v>17</v>
          </cell>
          <cell r="F8" t="str">
            <v>43</v>
          </cell>
          <cell r="G8" t="str">
            <v>43</v>
          </cell>
          <cell r="H8" t="str">
            <v>0</v>
          </cell>
          <cell r="I8" t="str">
            <v>100%</v>
          </cell>
          <cell r="J8" t="str">
            <v>85.35</v>
          </cell>
        </row>
        <row r="9">
          <cell r="B9" t="str">
            <v>李爱嘉</v>
          </cell>
          <cell r="C9" t="str">
            <v>1448</v>
          </cell>
          <cell r="D9" t="str">
            <v>89</v>
          </cell>
          <cell r="E9" t="str">
            <v>17</v>
          </cell>
          <cell r="F9" t="str">
            <v>43</v>
          </cell>
          <cell r="G9" t="str">
            <v>43</v>
          </cell>
          <cell r="H9" t="str">
            <v>0</v>
          </cell>
          <cell r="I9" t="str">
            <v>100%</v>
          </cell>
          <cell r="J9" t="str">
            <v>85.18</v>
          </cell>
        </row>
        <row r="10">
          <cell r="B10" t="str">
            <v>李阳杰</v>
          </cell>
          <cell r="C10" t="str">
            <v>1446</v>
          </cell>
          <cell r="D10" t="str">
            <v>89</v>
          </cell>
          <cell r="E10" t="str">
            <v>17</v>
          </cell>
          <cell r="F10" t="str">
            <v>43</v>
          </cell>
          <cell r="G10" t="str">
            <v>43</v>
          </cell>
          <cell r="H10" t="str">
            <v>0</v>
          </cell>
          <cell r="I10" t="str">
            <v>100%</v>
          </cell>
          <cell r="J10" t="str">
            <v>85.06</v>
          </cell>
        </row>
        <row r="11">
          <cell r="B11" t="str">
            <v>张钰婷</v>
          </cell>
          <cell r="C11" t="str">
            <v>1443</v>
          </cell>
          <cell r="D11" t="str">
            <v>89</v>
          </cell>
          <cell r="E11" t="str">
            <v>17</v>
          </cell>
          <cell r="F11" t="str">
            <v>43</v>
          </cell>
          <cell r="G11" t="str">
            <v>41</v>
          </cell>
          <cell r="H11" t="str">
            <v>2</v>
          </cell>
          <cell r="I11" t="str">
            <v>94.12%</v>
          </cell>
          <cell r="J11" t="str">
            <v>84.88</v>
          </cell>
        </row>
        <row r="12">
          <cell r="B12" t="str">
            <v>秦孟泽</v>
          </cell>
          <cell r="C12" t="str">
            <v>1438</v>
          </cell>
          <cell r="D12" t="str">
            <v>89</v>
          </cell>
          <cell r="E12" t="str">
            <v>17</v>
          </cell>
          <cell r="F12" t="str">
            <v>43</v>
          </cell>
          <cell r="G12" t="str">
            <v>43</v>
          </cell>
          <cell r="H12" t="str">
            <v>0</v>
          </cell>
          <cell r="I12" t="str">
            <v>100%</v>
          </cell>
          <cell r="J12" t="str">
            <v>84.59</v>
          </cell>
        </row>
        <row r="13">
          <cell r="B13" t="str">
            <v>卢雅琴</v>
          </cell>
          <cell r="C13" t="str">
            <v>1434</v>
          </cell>
          <cell r="D13" t="str">
            <v>89</v>
          </cell>
          <cell r="E13" t="str">
            <v>17</v>
          </cell>
          <cell r="F13" t="str">
            <v>43</v>
          </cell>
          <cell r="G13" t="str">
            <v>43</v>
          </cell>
          <cell r="H13" t="str">
            <v>0</v>
          </cell>
          <cell r="I13" t="str">
            <v>100%</v>
          </cell>
          <cell r="J13" t="str">
            <v>84.35</v>
          </cell>
        </row>
        <row r="14">
          <cell r="B14" t="str">
            <v>李超辉</v>
          </cell>
          <cell r="C14" t="str">
            <v>1433</v>
          </cell>
          <cell r="D14" t="str">
            <v>89</v>
          </cell>
          <cell r="E14" t="str">
            <v>17</v>
          </cell>
          <cell r="F14" t="str">
            <v>43</v>
          </cell>
          <cell r="G14" t="str">
            <v>43</v>
          </cell>
          <cell r="H14" t="str">
            <v>0</v>
          </cell>
          <cell r="I14" t="str">
            <v>100%</v>
          </cell>
          <cell r="J14" t="str">
            <v>84.29</v>
          </cell>
        </row>
        <row r="15">
          <cell r="B15" t="str">
            <v>陈昊</v>
          </cell>
          <cell r="C15" t="str">
            <v>1428</v>
          </cell>
          <cell r="D15" t="str">
            <v>89</v>
          </cell>
          <cell r="E15" t="str">
            <v>17</v>
          </cell>
          <cell r="F15" t="str">
            <v>43</v>
          </cell>
          <cell r="G15" t="str">
            <v>43</v>
          </cell>
          <cell r="H15" t="str">
            <v>0</v>
          </cell>
          <cell r="I15" t="str">
            <v>100%</v>
          </cell>
          <cell r="J15" t="str">
            <v>84.00</v>
          </cell>
        </row>
        <row r="16">
          <cell r="B16" t="str">
            <v>秦晋</v>
          </cell>
          <cell r="C16" t="str">
            <v>1427</v>
          </cell>
          <cell r="D16" t="str">
            <v>89</v>
          </cell>
          <cell r="E16" t="str">
            <v>17</v>
          </cell>
          <cell r="F16" t="str">
            <v>43</v>
          </cell>
          <cell r="G16" t="str">
            <v>43</v>
          </cell>
          <cell r="H16" t="str">
            <v>0</v>
          </cell>
          <cell r="I16" t="str">
            <v>100%</v>
          </cell>
          <cell r="J16" t="str">
            <v>83.94</v>
          </cell>
        </row>
        <row r="17">
          <cell r="B17" t="str">
            <v>窦婉心</v>
          </cell>
          <cell r="C17" t="str">
            <v>1425</v>
          </cell>
          <cell r="D17" t="str">
            <v>89</v>
          </cell>
          <cell r="E17" t="str">
            <v>17</v>
          </cell>
          <cell r="F17" t="str">
            <v>43</v>
          </cell>
          <cell r="G17" t="str">
            <v>43</v>
          </cell>
          <cell r="H17" t="str">
            <v>0</v>
          </cell>
          <cell r="I17" t="str">
            <v>100%</v>
          </cell>
          <cell r="J17" t="str">
            <v>83.82</v>
          </cell>
        </row>
        <row r="18">
          <cell r="B18" t="str">
            <v>王昱博</v>
          </cell>
          <cell r="C18" t="str">
            <v>1423</v>
          </cell>
          <cell r="D18" t="str">
            <v>89</v>
          </cell>
          <cell r="E18" t="str">
            <v>17</v>
          </cell>
          <cell r="F18" t="str">
            <v>43</v>
          </cell>
          <cell r="G18" t="str">
            <v>43</v>
          </cell>
          <cell r="H18" t="str">
            <v>0</v>
          </cell>
          <cell r="I18" t="str">
            <v>100%</v>
          </cell>
          <cell r="J18" t="str">
            <v>83.71</v>
          </cell>
        </row>
        <row r="19">
          <cell r="B19" t="str">
            <v>吕文龙</v>
          </cell>
          <cell r="C19" t="str">
            <v>1414</v>
          </cell>
          <cell r="D19" t="str">
            <v>89</v>
          </cell>
          <cell r="E19" t="str">
            <v>17</v>
          </cell>
          <cell r="F19" t="str">
            <v>43</v>
          </cell>
          <cell r="G19" t="str">
            <v>43</v>
          </cell>
          <cell r="H19" t="str">
            <v>0</v>
          </cell>
          <cell r="I19" t="str">
            <v>100%</v>
          </cell>
          <cell r="J19" t="str">
            <v>83.18</v>
          </cell>
        </row>
        <row r="20">
          <cell r="B20" t="str">
            <v>王前锦</v>
          </cell>
          <cell r="C20" t="str">
            <v>1407</v>
          </cell>
          <cell r="D20" t="str">
            <v>89</v>
          </cell>
          <cell r="E20" t="str">
            <v>17</v>
          </cell>
          <cell r="F20" t="str">
            <v>43</v>
          </cell>
          <cell r="G20" t="str">
            <v>43</v>
          </cell>
          <cell r="H20" t="str">
            <v>0</v>
          </cell>
          <cell r="I20" t="str">
            <v>100%</v>
          </cell>
          <cell r="J20" t="str">
            <v>82.76</v>
          </cell>
        </row>
        <row r="21">
          <cell r="B21" t="str">
            <v>范思成</v>
          </cell>
          <cell r="C21" t="str">
            <v>1406</v>
          </cell>
          <cell r="D21" t="str">
            <v>89</v>
          </cell>
          <cell r="E21" t="str">
            <v>17</v>
          </cell>
          <cell r="F21" t="str">
            <v>43</v>
          </cell>
          <cell r="G21" t="str">
            <v>43</v>
          </cell>
          <cell r="H21" t="str">
            <v>0</v>
          </cell>
          <cell r="I21" t="str">
            <v>100%</v>
          </cell>
          <cell r="J21" t="str">
            <v>82.71</v>
          </cell>
        </row>
        <row r="22">
          <cell r="B22" t="str">
            <v>徐淮阳</v>
          </cell>
          <cell r="C22" t="str">
            <v>1400</v>
          </cell>
          <cell r="D22" t="str">
            <v>89</v>
          </cell>
          <cell r="E22" t="str">
            <v>17</v>
          </cell>
          <cell r="F22" t="str">
            <v>43</v>
          </cell>
          <cell r="G22" t="str">
            <v>43</v>
          </cell>
          <cell r="H22" t="str">
            <v>0</v>
          </cell>
          <cell r="I22" t="str">
            <v>100%</v>
          </cell>
          <cell r="J22" t="str">
            <v>82.35</v>
          </cell>
        </row>
        <row r="23">
          <cell r="B23" t="str">
            <v>侍承屿</v>
          </cell>
          <cell r="C23" t="str">
            <v>1396</v>
          </cell>
          <cell r="D23" t="str">
            <v>89</v>
          </cell>
          <cell r="E23" t="str">
            <v>17</v>
          </cell>
          <cell r="F23" t="str">
            <v>43</v>
          </cell>
          <cell r="G23" t="str">
            <v>43</v>
          </cell>
          <cell r="H23" t="str">
            <v>0</v>
          </cell>
          <cell r="I23" t="str">
            <v>100%</v>
          </cell>
          <cell r="J23" t="str">
            <v>82.12</v>
          </cell>
        </row>
        <row r="24">
          <cell r="B24" t="str">
            <v>李东航</v>
          </cell>
          <cell r="C24" t="str">
            <v>1394</v>
          </cell>
          <cell r="D24" t="str">
            <v>89</v>
          </cell>
          <cell r="E24" t="str">
            <v>17</v>
          </cell>
          <cell r="F24" t="str">
            <v>43</v>
          </cell>
          <cell r="G24" t="str">
            <v>43</v>
          </cell>
          <cell r="H24" t="str">
            <v>0</v>
          </cell>
          <cell r="I24" t="str">
            <v>100%</v>
          </cell>
          <cell r="J24" t="str">
            <v>82.00</v>
          </cell>
        </row>
        <row r="25">
          <cell r="B25" t="str">
            <v>陈星屹</v>
          </cell>
          <cell r="C25" t="str">
            <v>1386</v>
          </cell>
          <cell r="D25" t="str">
            <v>89</v>
          </cell>
          <cell r="E25" t="str">
            <v>17</v>
          </cell>
          <cell r="F25" t="str">
            <v>43</v>
          </cell>
          <cell r="G25" t="str">
            <v>43</v>
          </cell>
          <cell r="H25" t="str">
            <v>0</v>
          </cell>
          <cell r="I25" t="str">
            <v>100%</v>
          </cell>
          <cell r="J25" t="str">
            <v>81.53</v>
          </cell>
        </row>
        <row r="26">
          <cell r="B26" t="str">
            <v>徐妍</v>
          </cell>
          <cell r="C26" t="str">
            <v>1384</v>
          </cell>
          <cell r="D26" t="str">
            <v>89</v>
          </cell>
          <cell r="E26" t="str">
            <v>17</v>
          </cell>
          <cell r="F26" t="str">
            <v>43</v>
          </cell>
          <cell r="G26" t="str">
            <v>43</v>
          </cell>
          <cell r="H26" t="str">
            <v>0</v>
          </cell>
          <cell r="I26" t="str">
            <v>100%</v>
          </cell>
          <cell r="J26" t="str">
            <v>81.41</v>
          </cell>
        </row>
        <row r="27">
          <cell r="B27" t="str">
            <v>马淑琴</v>
          </cell>
          <cell r="C27" t="str">
            <v>1379</v>
          </cell>
          <cell r="D27" t="str">
            <v>89</v>
          </cell>
          <cell r="E27" t="str">
            <v>17</v>
          </cell>
          <cell r="F27" t="str">
            <v>43</v>
          </cell>
          <cell r="G27" t="str">
            <v>43</v>
          </cell>
          <cell r="H27" t="str">
            <v>0</v>
          </cell>
          <cell r="I27" t="str">
            <v>100%</v>
          </cell>
          <cell r="J27" t="str">
            <v>81.12</v>
          </cell>
        </row>
        <row r="28">
          <cell r="B28" t="str">
            <v>林鑫芊</v>
          </cell>
          <cell r="C28" t="str">
            <v>1375</v>
          </cell>
          <cell r="D28" t="str">
            <v>89</v>
          </cell>
          <cell r="E28" t="str">
            <v>17</v>
          </cell>
          <cell r="F28" t="str">
            <v>43</v>
          </cell>
          <cell r="G28" t="str">
            <v>43</v>
          </cell>
          <cell r="H28" t="str">
            <v>0</v>
          </cell>
          <cell r="I28" t="str">
            <v>100%</v>
          </cell>
          <cell r="J28" t="str">
            <v>80.88</v>
          </cell>
        </row>
        <row r="29">
          <cell r="B29" t="str">
            <v>蔡宇晨</v>
          </cell>
          <cell r="C29" t="str">
            <v>1371</v>
          </cell>
          <cell r="D29" t="str">
            <v>89</v>
          </cell>
          <cell r="E29" t="str">
            <v>17</v>
          </cell>
          <cell r="F29" t="str">
            <v>43</v>
          </cell>
          <cell r="G29" t="str">
            <v>43</v>
          </cell>
          <cell r="H29" t="str">
            <v>0</v>
          </cell>
          <cell r="I29" t="str">
            <v>100%</v>
          </cell>
          <cell r="J29" t="str">
            <v>80.65</v>
          </cell>
        </row>
        <row r="30">
          <cell r="B30" t="str">
            <v>王楚韵</v>
          </cell>
          <cell r="C30" t="str">
            <v>1364</v>
          </cell>
          <cell r="D30" t="str">
            <v>89</v>
          </cell>
          <cell r="E30" t="str">
            <v>17</v>
          </cell>
          <cell r="F30" t="str">
            <v>43</v>
          </cell>
          <cell r="G30" t="str">
            <v>43</v>
          </cell>
          <cell r="H30" t="str">
            <v>0</v>
          </cell>
          <cell r="I30" t="str">
            <v>100%</v>
          </cell>
          <cell r="J30" t="str">
            <v>80.24</v>
          </cell>
        </row>
        <row r="31">
          <cell r="B31" t="str">
            <v>左一博</v>
          </cell>
          <cell r="C31" t="str">
            <v>1361</v>
          </cell>
          <cell r="D31" t="str">
            <v>89</v>
          </cell>
          <cell r="E31" t="str">
            <v>17</v>
          </cell>
          <cell r="F31" t="str">
            <v>43</v>
          </cell>
          <cell r="G31" t="str">
            <v>43</v>
          </cell>
          <cell r="H31" t="str">
            <v>0</v>
          </cell>
          <cell r="I31" t="str">
            <v>100%</v>
          </cell>
          <cell r="J31" t="str">
            <v>80.06</v>
          </cell>
        </row>
        <row r="32">
          <cell r="B32" t="str">
            <v>刘畅</v>
          </cell>
          <cell r="C32" t="str">
            <v>1360</v>
          </cell>
          <cell r="D32" t="str">
            <v>89</v>
          </cell>
          <cell r="E32" t="str">
            <v>17</v>
          </cell>
          <cell r="F32" t="str">
            <v>43</v>
          </cell>
          <cell r="G32" t="str">
            <v>43</v>
          </cell>
          <cell r="H32" t="str">
            <v>0</v>
          </cell>
          <cell r="I32" t="str">
            <v>100%</v>
          </cell>
          <cell r="J32" t="str">
            <v>80.00</v>
          </cell>
        </row>
        <row r="33">
          <cell r="B33" t="str">
            <v>王悦琪</v>
          </cell>
          <cell r="C33" t="str">
            <v>1358</v>
          </cell>
          <cell r="D33" t="str">
            <v>89</v>
          </cell>
          <cell r="E33" t="str">
            <v>17</v>
          </cell>
          <cell r="F33" t="str">
            <v>43</v>
          </cell>
          <cell r="G33" t="str">
            <v>43</v>
          </cell>
          <cell r="H33" t="str">
            <v>0</v>
          </cell>
          <cell r="I33" t="str">
            <v>100%</v>
          </cell>
          <cell r="J33" t="str">
            <v>79.88</v>
          </cell>
        </row>
        <row r="34">
          <cell r="B34" t="str">
            <v>游邦杰</v>
          </cell>
          <cell r="C34" t="str">
            <v>1357</v>
          </cell>
          <cell r="D34" t="str">
            <v>89</v>
          </cell>
          <cell r="E34" t="str">
            <v>17</v>
          </cell>
          <cell r="F34" t="str">
            <v>43</v>
          </cell>
          <cell r="G34" t="str">
            <v>43</v>
          </cell>
          <cell r="H34" t="str">
            <v>0</v>
          </cell>
          <cell r="I34" t="str">
            <v>100%</v>
          </cell>
          <cell r="J34" t="str">
            <v>79.82</v>
          </cell>
        </row>
        <row r="35">
          <cell r="B35" t="str">
            <v>齐骏涛</v>
          </cell>
          <cell r="C35" t="str">
            <v>1353</v>
          </cell>
          <cell r="D35" t="str">
            <v>89</v>
          </cell>
          <cell r="E35" t="str">
            <v>17</v>
          </cell>
          <cell r="F35" t="str">
            <v>43</v>
          </cell>
          <cell r="G35" t="str">
            <v>43</v>
          </cell>
          <cell r="H35" t="str">
            <v>0</v>
          </cell>
          <cell r="I35" t="str">
            <v>100%</v>
          </cell>
          <cell r="J35" t="str">
            <v>79.59</v>
          </cell>
        </row>
        <row r="36">
          <cell r="B36" t="str">
            <v>秦延</v>
          </cell>
          <cell r="C36" t="str">
            <v>1344</v>
          </cell>
          <cell r="D36" t="str">
            <v>89</v>
          </cell>
          <cell r="E36" t="str">
            <v>17</v>
          </cell>
          <cell r="F36" t="str">
            <v>43</v>
          </cell>
          <cell r="G36" t="str">
            <v>43</v>
          </cell>
          <cell r="H36" t="str">
            <v>0</v>
          </cell>
          <cell r="I36" t="str">
            <v>100%</v>
          </cell>
          <cell r="J36" t="str">
            <v>79.06</v>
          </cell>
        </row>
        <row r="37">
          <cell r="B37" t="str">
            <v>杨欢</v>
          </cell>
          <cell r="C37" t="str">
            <v>1333</v>
          </cell>
          <cell r="D37" t="str">
            <v>89</v>
          </cell>
          <cell r="E37" t="str">
            <v>17</v>
          </cell>
          <cell r="F37" t="str">
            <v>43</v>
          </cell>
          <cell r="G37" t="str">
            <v>43</v>
          </cell>
          <cell r="H37" t="str">
            <v>0</v>
          </cell>
          <cell r="I37" t="str">
            <v>100%</v>
          </cell>
          <cell r="J37" t="str">
            <v>78.41</v>
          </cell>
        </row>
        <row r="38">
          <cell r="B38" t="str">
            <v>钱铨</v>
          </cell>
          <cell r="C38" t="str">
            <v>1319</v>
          </cell>
          <cell r="D38" t="str">
            <v>89</v>
          </cell>
          <cell r="E38" t="str">
            <v>17</v>
          </cell>
          <cell r="F38" t="str">
            <v>43</v>
          </cell>
          <cell r="G38" t="str">
            <v>43</v>
          </cell>
          <cell r="H38" t="str">
            <v>0</v>
          </cell>
          <cell r="I38" t="str">
            <v>100%</v>
          </cell>
          <cell r="J38" t="str">
            <v>77.59</v>
          </cell>
        </row>
        <row r="39">
          <cell r="B39" t="str">
            <v>周鑫</v>
          </cell>
          <cell r="C39" t="str">
            <v>1307</v>
          </cell>
          <cell r="D39" t="str">
            <v>89</v>
          </cell>
          <cell r="E39" t="str">
            <v>17</v>
          </cell>
          <cell r="F39" t="str">
            <v>43</v>
          </cell>
          <cell r="G39" t="str">
            <v>43</v>
          </cell>
          <cell r="H39" t="str">
            <v>0</v>
          </cell>
          <cell r="I39" t="str">
            <v>100%</v>
          </cell>
          <cell r="J39" t="str">
            <v>76.88</v>
          </cell>
        </row>
        <row r="40">
          <cell r="B40" t="str">
            <v>杜汶峰</v>
          </cell>
          <cell r="C40" t="str">
            <v>1305</v>
          </cell>
          <cell r="D40" t="str">
            <v>89</v>
          </cell>
          <cell r="E40" t="str">
            <v>17</v>
          </cell>
          <cell r="F40" t="str">
            <v>43</v>
          </cell>
          <cell r="G40" t="str">
            <v>43</v>
          </cell>
          <cell r="H40" t="str">
            <v>0</v>
          </cell>
          <cell r="I40" t="str">
            <v>100%</v>
          </cell>
          <cell r="J40" t="str">
            <v>76.76</v>
          </cell>
        </row>
        <row r="41">
          <cell r="B41" t="str">
            <v>叶永清</v>
          </cell>
          <cell r="C41" t="str">
            <v>1294</v>
          </cell>
          <cell r="D41" t="str">
            <v>89</v>
          </cell>
          <cell r="E41" t="str">
            <v>17</v>
          </cell>
          <cell r="F41" t="str">
            <v>43</v>
          </cell>
          <cell r="G41" t="str">
            <v>43</v>
          </cell>
          <cell r="H41" t="str">
            <v>0</v>
          </cell>
          <cell r="I41" t="str">
            <v>100%</v>
          </cell>
          <cell r="J41" t="str">
            <v>76.12</v>
          </cell>
        </row>
        <row r="42">
          <cell r="B42" t="str">
            <v>丁钰芩</v>
          </cell>
          <cell r="C42" t="str">
            <v>1176</v>
          </cell>
          <cell r="D42" t="str">
            <v>89</v>
          </cell>
          <cell r="E42" t="str">
            <v>17</v>
          </cell>
          <cell r="F42" t="str">
            <v>43</v>
          </cell>
          <cell r="G42" t="str">
            <v>36</v>
          </cell>
          <cell r="H42" t="str">
            <v>7</v>
          </cell>
          <cell r="I42" t="str">
            <v>82.35%</v>
          </cell>
          <cell r="J42" t="str">
            <v>69.18</v>
          </cell>
        </row>
      </sheetData>
      <sheetData sheetId="3" refreshError="1">
        <row r="2">
          <cell r="C2" t="str">
            <v>蔡宇晨</v>
          </cell>
        </row>
        <row r="2">
          <cell r="E2">
            <v>1.5</v>
          </cell>
        </row>
        <row r="2">
          <cell r="I2">
            <v>1.5</v>
          </cell>
        </row>
        <row r="3">
          <cell r="C3" t="str">
            <v>张子涵</v>
          </cell>
        </row>
        <row r="3">
          <cell r="I3">
            <v>0</v>
          </cell>
        </row>
        <row r="4">
          <cell r="C4" t="str">
            <v>陈星屹</v>
          </cell>
        </row>
        <row r="4">
          <cell r="E4">
            <v>1.5</v>
          </cell>
        </row>
        <row r="4">
          <cell r="I4">
            <v>1.5</v>
          </cell>
        </row>
        <row r="5">
          <cell r="C5" t="str">
            <v>杜汶峰</v>
          </cell>
        </row>
        <row r="5">
          <cell r="I5">
            <v>0</v>
          </cell>
        </row>
        <row r="6">
          <cell r="C6" t="str">
            <v>范思成</v>
          </cell>
          <cell r="D6">
            <v>1</v>
          </cell>
          <cell r="E6">
            <v>1.5</v>
          </cell>
        </row>
        <row r="6">
          <cell r="I6">
            <v>2.5</v>
          </cell>
        </row>
        <row r="7">
          <cell r="C7" t="str">
            <v>李东航</v>
          </cell>
        </row>
        <row r="7">
          <cell r="I7">
            <v>0</v>
          </cell>
        </row>
        <row r="8">
          <cell r="C8" t="str">
            <v>李阳杰</v>
          </cell>
        </row>
        <row r="8">
          <cell r="E8">
            <v>1.5</v>
          </cell>
        </row>
        <row r="8">
          <cell r="I8">
            <v>1.5</v>
          </cell>
        </row>
        <row r="9">
          <cell r="C9" t="str">
            <v>林鑫芊</v>
          </cell>
        </row>
        <row r="9">
          <cell r="E9">
            <v>1.5</v>
          </cell>
        </row>
        <row r="9">
          <cell r="I9">
            <v>1.5</v>
          </cell>
        </row>
        <row r="10">
          <cell r="C10" t="str">
            <v>刘畅</v>
          </cell>
          <cell r="D10">
            <v>1</v>
          </cell>
        </row>
        <row r="10">
          <cell r="I10">
            <v>1</v>
          </cell>
        </row>
        <row r="11">
          <cell r="C11" t="str">
            <v>吕文龙</v>
          </cell>
          <cell r="D11">
            <v>2</v>
          </cell>
          <cell r="E11">
            <v>2</v>
          </cell>
        </row>
        <row r="11">
          <cell r="I11">
            <v>4</v>
          </cell>
        </row>
        <row r="12">
          <cell r="C12" t="str">
            <v>齐骏涛</v>
          </cell>
          <cell r="D12">
            <v>1</v>
          </cell>
          <cell r="E12">
            <v>2</v>
          </cell>
        </row>
        <row r="12">
          <cell r="I12">
            <v>3</v>
          </cell>
        </row>
        <row r="13">
          <cell r="C13" t="str">
            <v>钱铨</v>
          </cell>
        </row>
        <row r="13">
          <cell r="I13">
            <v>0</v>
          </cell>
        </row>
        <row r="14">
          <cell r="C14" t="str">
            <v>秦晋</v>
          </cell>
        </row>
        <row r="14">
          <cell r="E14">
            <v>1.5</v>
          </cell>
        </row>
        <row r="14">
          <cell r="I14">
            <v>1.5</v>
          </cell>
        </row>
        <row r="15">
          <cell r="C15" t="str">
            <v>秦孟泽</v>
          </cell>
          <cell r="D15">
            <v>2</v>
          </cell>
          <cell r="E15">
            <v>1.5</v>
          </cell>
          <cell r="F15">
            <v>1</v>
          </cell>
          <cell r="G15">
            <v>1</v>
          </cell>
        </row>
        <row r="15">
          <cell r="I15">
            <v>5.5</v>
          </cell>
        </row>
        <row r="16">
          <cell r="C16" t="str">
            <v>秦延</v>
          </cell>
        </row>
        <row r="16">
          <cell r="E16">
            <v>1.5</v>
          </cell>
        </row>
        <row r="16">
          <cell r="I16">
            <v>1.5</v>
          </cell>
        </row>
        <row r="17">
          <cell r="C17" t="str">
            <v>侍彬彬</v>
          </cell>
        </row>
        <row r="17">
          <cell r="E17">
            <v>1.5</v>
          </cell>
        </row>
        <row r="17">
          <cell r="I17">
            <v>1.5</v>
          </cell>
        </row>
        <row r="18">
          <cell r="C18" t="str">
            <v>王前锦</v>
          </cell>
        </row>
        <row r="18">
          <cell r="E18">
            <v>1.5</v>
          </cell>
        </row>
        <row r="18">
          <cell r="I18">
            <v>1.5</v>
          </cell>
        </row>
        <row r="19">
          <cell r="C19" t="str">
            <v>王昱博</v>
          </cell>
          <cell r="D19">
            <v>1</v>
          </cell>
          <cell r="E19">
            <v>1.5</v>
          </cell>
        </row>
        <row r="19">
          <cell r="I19">
            <v>2.5</v>
          </cell>
        </row>
        <row r="20">
          <cell r="C20" t="str">
            <v>徐淮阳</v>
          </cell>
          <cell r="D20">
            <v>1</v>
          </cell>
          <cell r="E20">
            <v>2</v>
          </cell>
        </row>
        <row r="20">
          <cell r="I20">
            <v>3</v>
          </cell>
        </row>
        <row r="21">
          <cell r="C21" t="str">
            <v>杨欢</v>
          </cell>
          <cell r="D21">
            <v>1</v>
          </cell>
          <cell r="E21">
            <v>2</v>
          </cell>
        </row>
        <row r="21">
          <cell r="I21">
            <v>3</v>
          </cell>
        </row>
        <row r="22">
          <cell r="C22" t="str">
            <v>叶永清</v>
          </cell>
        </row>
        <row r="22">
          <cell r="E22">
            <v>1.5</v>
          </cell>
        </row>
        <row r="22">
          <cell r="I22">
            <v>1.5</v>
          </cell>
        </row>
        <row r="23">
          <cell r="C23" t="str">
            <v>游邦杰</v>
          </cell>
        </row>
        <row r="23">
          <cell r="E23">
            <v>1.5</v>
          </cell>
        </row>
        <row r="23">
          <cell r="I23">
            <v>1.5</v>
          </cell>
        </row>
        <row r="24">
          <cell r="C24" t="str">
            <v>张玉泉</v>
          </cell>
        </row>
        <row r="24">
          <cell r="E24">
            <v>1.5</v>
          </cell>
        </row>
        <row r="24">
          <cell r="I24">
            <v>1.5</v>
          </cell>
        </row>
        <row r="25">
          <cell r="C25" t="str">
            <v>周鑫</v>
          </cell>
        </row>
        <row r="25">
          <cell r="E25">
            <v>1.5</v>
          </cell>
        </row>
        <row r="25">
          <cell r="I25">
            <v>1.5</v>
          </cell>
        </row>
        <row r="26">
          <cell r="C26" t="str">
            <v>左一博</v>
          </cell>
        </row>
        <row r="26">
          <cell r="I26">
            <v>0</v>
          </cell>
        </row>
        <row r="27">
          <cell r="C27" t="str">
            <v>丁钰芩</v>
          </cell>
        </row>
        <row r="27">
          <cell r="I27">
            <v>0</v>
          </cell>
        </row>
        <row r="28">
          <cell r="C28" t="str">
            <v>窦婉心</v>
          </cell>
          <cell r="D28">
            <v>2</v>
          </cell>
        </row>
        <row r="28">
          <cell r="I28">
            <v>2</v>
          </cell>
        </row>
        <row r="29">
          <cell r="C29" t="str">
            <v>李爱嘉</v>
          </cell>
        </row>
        <row r="29">
          <cell r="I29">
            <v>0</v>
          </cell>
        </row>
        <row r="30">
          <cell r="C30" t="str">
            <v>李超辉</v>
          </cell>
        </row>
        <row r="30">
          <cell r="I30">
            <v>0</v>
          </cell>
        </row>
        <row r="31">
          <cell r="C31" t="str">
            <v>卢雅琴</v>
          </cell>
          <cell r="D31">
            <v>1</v>
          </cell>
        </row>
        <row r="31">
          <cell r="I31">
            <v>1</v>
          </cell>
        </row>
        <row r="32">
          <cell r="C32" t="str">
            <v>马淑琴</v>
          </cell>
          <cell r="D32">
            <v>1</v>
          </cell>
        </row>
        <row r="32">
          <cell r="I32">
            <v>1</v>
          </cell>
        </row>
        <row r="33">
          <cell r="C33" t="str">
            <v>梅珂</v>
          </cell>
        </row>
        <row r="33">
          <cell r="I33">
            <v>0</v>
          </cell>
        </row>
        <row r="34">
          <cell r="C34" t="str">
            <v>史静雯</v>
          </cell>
        </row>
        <row r="34">
          <cell r="I34">
            <v>0</v>
          </cell>
        </row>
        <row r="35">
          <cell r="C35" t="str">
            <v>王楚韵</v>
          </cell>
          <cell r="D35">
            <v>1</v>
          </cell>
        </row>
        <row r="35">
          <cell r="I35">
            <v>1</v>
          </cell>
        </row>
        <row r="36">
          <cell r="C36" t="str">
            <v>王梅玫</v>
          </cell>
        </row>
        <row r="36">
          <cell r="I36">
            <v>0</v>
          </cell>
        </row>
        <row r="37">
          <cell r="C37" t="str">
            <v>王雅楠</v>
          </cell>
        </row>
        <row r="37">
          <cell r="I37">
            <v>0</v>
          </cell>
        </row>
        <row r="38">
          <cell r="C38" t="str">
            <v>王悦琪</v>
          </cell>
        </row>
        <row r="38">
          <cell r="I38">
            <v>0</v>
          </cell>
        </row>
        <row r="39">
          <cell r="C39" t="str">
            <v>徐妍</v>
          </cell>
          <cell r="D39">
            <v>1</v>
          </cell>
        </row>
        <row r="39">
          <cell r="I39">
            <v>1</v>
          </cell>
        </row>
        <row r="40">
          <cell r="C40" t="str">
            <v>张蓝天</v>
          </cell>
        </row>
        <row r="40">
          <cell r="I40">
            <v>0</v>
          </cell>
        </row>
        <row r="41">
          <cell r="C41" t="str">
            <v>张钰婷</v>
          </cell>
        </row>
        <row r="41">
          <cell r="I41">
            <v>0</v>
          </cell>
        </row>
        <row r="42">
          <cell r="C42" t="str">
            <v>陈昊</v>
          </cell>
          <cell r="D42">
            <v>1</v>
          </cell>
          <cell r="E42">
            <v>2</v>
          </cell>
        </row>
        <row r="42">
          <cell r="I42">
            <v>3</v>
          </cell>
        </row>
      </sheetData>
      <sheetData sheetId="4" refreshError="1">
        <row r="2">
          <cell r="H2" t="str">
            <v>左一博</v>
          </cell>
          <cell r="I2" t="str">
            <v>男</v>
          </cell>
          <cell r="J2" t="str">
            <v/>
          </cell>
          <cell r="K2" t="str">
            <v/>
          </cell>
          <cell r="L2" t="str">
            <v>在读</v>
          </cell>
          <cell r="M2" t="str">
            <v>在校</v>
          </cell>
          <cell r="N2" t="str">
            <v>2</v>
          </cell>
          <cell r="O2">
            <v>2</v>
          </cell>
        </row>
        <row r="3">
          <cell r="H3" t="str">
            <v>游邦杰</v>
          </cell>
          <cell r="I3" t="str">
            <v>男</v>
          </cell>
          <cell r="J3" t="str">
            <v/>
          </cell>
          <cell r="K3" t="str">
            <v/>
          </cell>
          <cell r="L3" t="str">
            <v>在读</v>
          </cell>
          <cell r="M3" t="str">
            <v>在校</v>
          </cell>
          <cell r="N3" t="str">
            <v>2</v>
          </cell>
          <cell r="O3">
            <v>2</v>
          </cell>
        </row>
        <row r="4">
          <cell r="H4" t="str">
            <v>杜汶峰</v>
          </cell>
          <cell r="I4" t="str">
            <v>男</v>
          </cell>
          <cell r="J4" t="str">
            <v/>
          </cell>
          <cell r="K4" t="str">
            <v/>
          </cell>
          <cell r="L4" t="str">
            <v>在读</v>
          </cell>
          <cell r="M4" t="str">
            <v>在校</v>
          </cell>
          <cell r="N4" t="str">
            <v>2</v>
          </cell>
          <cell r="O4">
            <v>2</v>
          </cell>
        </row>
        <row r="5">
          <cell r="H5" t="str">
            <v>秦晋</v>
          </cell>
          <cell r="I5" t="str">
            <v>男</v>
          </cell>
          <cell r="J5" t="str">
            <v/>
          </cell>
          <cell r="K5" t="str">
            <v/>
          </cell>
          <cell r="L5" t="str">
            <v>在读</v>
          </cell>
          <cell r="M5" t="str">
            <v>在校</v>
          </cell>
          <cell r="N5" t="str">
            <v>2</v>
          </cell>
          <cell r="O5">
            <v>2</v>
          </cell>
        </row>
        <row r="6">
          <cell r="H6" t="str">
            <v>丁钰芩</v>
          </cell>
          <cell r="I6" t="str">
            <v>女</v>
          </cell>
          <cell r="J6" t="str">
            <v/>
          </cell>
          <cell r="K6" t="str">
            <v/>
          </cell>
          <cell r="L6" t="str">
            <v>在读</v>
          </cell>
          <cell r="M6" t="str">
            <v>在校</v>
          </cell>
          <cell r="N6" t="str">
            <v>8</v>
          </cell>
          <cell r="O6">
            <v>8</v>
          </cell>
        </row>
        <row r="7">
          <cell r="H7" t="str">
            <v>钱铨</v>
          </cell>
          <cell r="I7" t="str">
            <v>男</v>
          </cell>
          <cell r="J7" t="str">
            <v/>
          </cell>
          <cell r="K7" t="str">
            <v/>
          </cell>
          <cell r="L7" t="str">
            <v>在读</v>
          </cell>
          <cell r="M7" t="str">
            <v>在校</v>
          </cell>
          <cell r="N7" t="str">
            <v>4</v>
          </cell>
          <cell r="O7">
            <v>4</v>
          </cell>
        </row>
        <row r="8">
          <cell r="H8" t="str">
            <v>周鑫</v>
          </cell>
          <cell r="I8" t="str">
            <v>男</v>
          </cell>
          <cell r="J8" t="str">
            <v/>
          </cell>
          <cell r="K8" t="str">
            <v/>
          </cell>
          <cell r="L8" t="str">
            <v>在读</v>
          </cell>
          <cell r="M8" t="str">
            <v>在校</v>
          </cell>
          <cell r="N8" t="str">
            <v>2</v>
          </cell>
          <cell r="O8">
            <v>2</v>
          </cell>
        </row>
        <row r="11">
          <cell r="H11" t="str">
            <v>张钰婷</v>
          </cell>
          <cell r="I11" t="str">
            <v>女</v>
          </cell>
        </row>
        <row r="11">
          <cell r="L11" t="str">
            <v>在读</v>
          </cell>
          <cell r="M11" t="str">
            <v>在校</v>
          </cell>
        </row>
        <row r="11">
          <cell r="O11">
            <v>10</v>
          </cell>
        </row>
      </sheetData>
      <sheetData sheetId="5" refreshError="1">
        <row r="1">
          <cell r="B1" t="str">
            <v>秦孟泽</v>
          </cell>
          <cell r="C1">
            <v>94.713</v>
          </cell>
          <cell r="D1">
            <v>100</v>
          </cell>
        </row>
        <row r="2">
          <cell r="B2" t="str">
            <v>吕文龙</v>
          </cell>
          <cell r="C2">
            <v>92.226</v>
          </cell>
          <cell r="D2">
            <v>100</v>
          </cell>
        </row>
        <row r="3">
          <cell r="B3" t="str">
            <v>王梅玫</v>
          </cell>
          <cell r="C3">
            <v>91.629</v>
          </cell>
          <cell r="D3">
            <v>99</v>
          </cell>
        </row>
        <row r="4">
          <cell r="B4" t="str">
            <v>陈昊</v>
          </cell>
          <cell r="C4">
            <v>91.5</v>
          </cell>
          <cell r="D4">
            <v>99</v>
          </cell>
        </row>
        <row r="5">
          <cell r="B5" t="str">
            <v>张玉泉</v>
          </cell>
          <cell r="C5">
            <v>91.142</v>
          </cell>
          <cell r="D5">
            <v>98</v>
          </cell>
        </row>
        <row r="6">
          <cell r="B6" t="str">
            <v>李阳杰</v>
          </cell>
          <cell r="C6">
            <v>90.742</v>
          </cell>
          <cell r="D6">
            <v>99</v>
          </cell>
        </row>
        <row r="7">
          <cell r="B7" t="str">
            <v>窦婉心</v>
          </cell>
          <cell r="C7">
            <v>90.674</v>
          </cell>
          <cell r="D7">
            <v>100</v>
          </cell>
        </row>
        <row r="8">
          <cell r="B8" t="str">
            <v>史静雯</v>
          </cell>
          <cell r="C8">
            <v>90.397</v>
          </cell>
          <cell r="D8">
            <v>99</v>
          </cell>
        </row>
        <row r="9">
          <cell r="B9" t="str">
            <v>徐淮阳</v>
          </cell>
          <cell r="C9">
            <v>90.345</v>
          </cell>
          <cell r="D9">
            <v>99</v>
          </cell>
        </row>
        <row r="10">
          <cell r="B10" t="str">
            <v>王昱博</v>
          </cell>
          <cell r="C10">
            <v>90.197</v>
          </cell>
          <cell r="D10">
            <v>97</v>
          </cell>
        </row>
        <row r="11">
          <cell r="B11" t="str">
            <v>梅珂</v>
          </cell>
          <cell r="C11">
            <v>90.068</v>
          </cell>
          <cell r="D11">
            <v>99</v>
          </cell>
        </row>
        <row r="12">
          <cell r="B12" t="str">
            <v>卢雅琴</v>
          </cell>
          <cell r="C12">
            <v>90.045</v>
          </cell>
          <cell r="D12">
            <v>100</v>
          </cell>
        </row>
        <row r="13">
          <cell r="B13" t="str">
            <v>范思成</v>
          </cell>
          <cell r="C13">
            <v>89.797</v>
          </cell>
          <cell r="D13">
            <v>98</v>
          </cell>
        </row>
        <row r="14">
          <cell r="B14" t="str">
            <v>张蓝天</v>
          </cell>
          <cell r="C14">
            <v>89.629</v>
          </cell>
          <cell r="D14">
            <v>97</v>
          </cell>
        </row>
        <row r="15">
          <cell r="B15" t="str">
            <v>张子涵</v>
          </cell>
          <cell r="C15">
            <v>89.445</v>
          </cell>
          <cell r="D15">
            <v>99</v>
          </cell>
        </row>
        <row r="16">
          <cell r="B16" t="str">
            <v>王雅楠</v>
          </cell>
          <cell r="C16">
            <v>89.432</v>
          </cell>
          <cell r="D16">
            <v>98</v>
          </cell>
        </row>
        <row r="17">
          <cell r="B17" t="str">
            <v>李爱嘉</v>
          </cell>
          <cell r="C17">
            <v>89.326</v>
          </cell>
          <cell r="D17">
            <v>99</v>
          </cell>
        </row>
        <row r="18">
          <cell r="B18" t="str">
            <v>王前锦</v>
          </cell>
          <cell r="C18">
            <v>89.132</v>
          </cell>
          <cell r="D18">
            <v>99</v>
          </cell>
        </row>
        <row r="19">
          <cell r="B19" t="str">
            <v>侍彬彬</v>
          </cell>
          <cell r="C19">
            <v>88.984</v>
          </cell>
          <cell r="D19">
            <v>100</v>
          </cell>
        </row>
        <row r="20">
          <cell r="B20" t="str">
            <v>李超辉</v>
          </cell>
          <cell r="C20">
            <v>88.403</v>
          </cell>
          <cell r="D20">
            <v>98</v>
          </cell>
        </row>
        <row r="21">
          <cell r="B21" t="str">
            <v>徐妍</v>
          </cell>
          <cell r="C21">
            <v>87.987</v>
          </cell>
          <cell r="D21">
            <v>100</v>
          </cell>
        </row>
        <row r="22">
          <cell r="B22" t="str">
            <v>秦晋</v>
          </cell>
          <cell r="C22">
            <v>87.958</v>
          </cell>
          <cell r="D22">
            <v>99</v>
          </cell>
        </row>
        <row r="23">
          <cell r="B23" t="str">
            <v>马淑琴</v>
          </cell>
          <cell r="C23">
            <v>87.784</v>
          </cell>
          <cell r="D23">
            <v>100</v>
          </cell>
        </row>
        <row r="24">
          <cell r="B24" t="str">
            <v>陈星屹</v>
          </cell>
          <cell r="C24">
            <v>87.671</v>
          </cell>
          <cell r="D24">
            <v>97</v>
          </cell>
        </row>
        <row r="25">
          <cell r="B25" t="str">
            <v>齐骏涛</v>
          </cell>
          <cell r="C25">
            <v>87.513</v>
          </cell>
          <cell r="D25">
            <v>96</v>
          </cell>
        </row>
        <row r="26">
          <cell r="B26" t="str">
            <v>蔡宇晨</v>
          </cell>
          <cell r="C26">
            <v>87.355</v>
          </cell>
          <cell r="D26">
            <v>98</v>
          </cell>
        </row>
        <row r="27">
          <cell r="B27" t="str">
            <v>林鑫芊</v>
          </cell>
          <cell r="C27">
            <v>87.216</v>
          </cell>
          <cell r="D27">
            <v>97</v>
          </cell>
        </row>
        <row r="28">
          <cell r="B28" t="str">
            <v>刘畅</v>
          </cell>
          <cell r="C28">
            <v>87</v>
          </cell>
          <cell r="D28">
            <v>100</v>
          </cell>
        </row>
        <row r="29">
          <cell r="B29" t="str">
            <v>王楚韵</v>
          </cell>
          <cell r="C29">
            <v>86.868</v>
          </cell>
          <cell r="D29">
            <v>99</v>
          </cell>
        </row>
        <row r="30">
          <cell r="B30" t="str">
            <v>杨欢</v>
          </cell>
          <cell r="C30">
            <v>86.687</v>
          </cell>
          <cell r="D30">
            <v>96</v>
          </cell>
        </row>
        <row r="31">
          <cell r="B31" t="str">
            <v>秦延</v>
          </cell>
          <cell r="C31">
            <v>86.542</v>
          </cell>
          <cell r="D31">
            <v>99</v>
          </cell>
        </row>
        <row r="32">
          <cell r="B32" t="str">
            <v>李东航</v>
          </cell>
          <cell r="C32">
            <v>86.5</v>
          </cell>
          <cell r="D32">
            <v>97</v>
          </cell>
        </row>
        <row r="33">
          <cell r="B33" t="str">
            <v>王悦琪</v>
          </cell>
          <cell r="C33">
            <v>85.316</v>
          </cell>
          <cell r="D33">
            <v>98</v>
          </cell>
        </row>
        <row r="34">
          <cell r="B34" t="str">
            <v>游邦杰</v>
          </cell>
          <cell r="C34">
            <v>85.074</v>
          </cell>
          <cell r="D34">
            <v>99</v>
          </cell>
        </row>
        <row r="35">
          <cell r="B35" t="str">
            <v>叶永清</v>
          </cell>
          <cell r="C35">
            <v>83.884</v>
          </cell>
          <cell r="D35">
            <v>97</v>
          </cell>
        </row>
        <row r="36">
          <cell r="B36" t="str">
            <v>左一博</v>
          </cell>
          <cell r="C36">
            <v>83.742</v>
          </cell>
          <cell r="D36">
            <v>99</v>
          </cell>
        </row>
        <row r="37">
          <cell r="B37" t="str">
            <v>周鑫</v>
          </cell>
          <cell r="C37">
            <v>83.016</v>
          </cell>
          <cell r="D37">
            <v>99</v>
          </cell>
        </row>
        <row r="38">
          <cell r="B38" t="str">
            <v>杜汶峰</v>
          </cell>
          <cell r="C38">
            <v>81.132</v>
          </cell>
          <cell r="D38">
            <v>98</v>
          </cell>
        </row>
        <row r="39">
          <cell r="B39" t="str">
            <v>张钰婷</v>
          </cell>
          <cell r="C39">
            <v>78.816</v>
          </cell>
          <cell r="D39">
            <v>98</v>
          </cell>
        </row>
        <row r="40">
          <cell r="B40" t="str">
            <v>钱铨</v>
          </cell>
          <cell r="C40">
            <v>78.813</v>
          </cell>
          <cell r="D40">
            <v>95</v>
          </cell>
        </row>
        <row r="41">
          <cell r="B41" t="str">
            <v>丁钰芩</v>
          </cell>
          <cell r="C41">
            <v>51.226</v>
          </cell>
          <cell r="D41">
            <v>96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"/>
  <sheetViews>
    <sheetView tabSelected="1" workbookViewId="0">
      <selection activeCell="C21" sqref="C21"/>
    </sheetView>
  </sheetViews>
  <sheetFormatPr defaultColWidth="9" defaultRowHeight="16.8"/>
  <cols>
    <col min="2" max="2" width="15.5384615384615" customWidth="1"/>
    <col min="4" max="4" width="12.9807692307692" customWidth="1"/>
    <col min="5" max="5" width="13.2980769230769" customWidth="1"/>
    <col min="6" max="6" width="14.4230769230769" customWidth="1"/>
    <col min="7" max="7" width="13.6153846153846" customWidth="1"/>
    <col min="8" max="8" width="11.0480769230769" customWidth="1"/>
    <col min="9" max="9" width="20.3461538461538" customWidth="1"/>
  </cols>
  <sheetData>
    <row r="1" ht="19" customHeight="1" spans="1:1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ht="34" customHeight="1" spans="1:1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ht="26" customHeight="1" spans="1:15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ht="53" spans="1:1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</row>
    <row r="5" s="8" customFormat="1" ht="20" customHeight="1" spans="1:15">
      <c r="A5" s="13">
        <v>1</v>
      </c>
      <c r="B5" s="13" t="s">
        <v>18</v>
      </c>
      <c r="C5" s="13" t="s">
        <v>19</v>
      </c>
      <c r="D5" s="13">
        <v>93.64</v>
      </c>
      <c r="E5" s="13" t="s">
        <v>20</v>
      </c>
      <c r="F5" s="13">
        <v>92</v>
      </c>
      <c r="G5" s="13">
        <v>56</v>
      </c>
      <c r="H5" s="13">
        <v>0</v>
      </c>
      <c r="I5" s="13">
        <f t="shared" ref="I5:I38" si="0">D5*0.3+E5*0.6+F5*0.1+G5-H5</f>
        <v>148.108</v>
      </c>
      <c r="J5" s="13"/>
      <c r="K5" s="13" t="s">
        <v>21</v>
      </c>
      <c r="L5" s="13"/>
      <c r="M5" s="13"/>
      <c r="N5" s="13" t="s">
        <v>21</v>
      </c>
      <c r="O5" s="13"/>
    </row>
    <row r="6" s="8" customFormat="1" ht="20" customHeight="1" spans="1:15">
      <c r="A6" s="13">
        <v>2</v>
      </c>
      <c r="B6" s="13" t="s">
        <v>22</v>
      </c>
      <c r="C6" s="13" t="s">
        <v>23</v>
      </c>
      <c r="D6" s="13">
        <v>97.14</v>
      </c>
      <c r="E6" s="13" t="s">
        <v>24</v>
      </c>
      <c r="F6" s="13">
        <v>89</v>
      </c>
      <c r="G6" s="13">
        <v>3</v>
      </c>
      <c r="H6" s="13">
        <v>0</v>
      </c>
      <c r="I6" s="13">
        <f t="shared" si="0"/>
        <v>94.496</v>
      </c>
      <c r="J6" s="13"/>
      <c r="K6" s="13"/>
      <c r="L6" s="13" t="s">
        <v>21</v>
      </c>
      <c r="M6" s="13"/>
      <c r="N6" s="13" t="s">
        <v>21</v>
      </c>
      <c r="O6" s="13"/>
    </row>
    <row r="7" s="8" customFormat="1" ht="20" customHeight="1" spans="1:15">
      <c r="A7" s="13">
        <v>3</v>
      </c>
      <c r="B7" s="13" t="s">
        <v>25</v>
      </c>
      <c r="C7" s="13" t="s">
        <v>26</v>
      </c>
      <c r="D7" s="13">
        <v>93.56</v>
      </c>
      <c r="E7" s="13" t="s">
        <v>27</v>
      </c>
      <c r="F7" s="13">
        <v>80.5</v>
      </c>
      <c r="G7" s="13">
        <v>6</v>
      </c>
      <c r="H7" s="13">
        <v>0</v>
      </c>
      <c r="I7" s="13">
        <f t="shared" si="0"/>
        <v>94.318</v>
      </c>
      <c r="J7" s="13"/>
      <c r="K7" s="13"/>
      <c r="L7" s="13"/>
      <c r="M7" s="13"/>
      <c r="N7" s="13" t="s">
        <v>21</v>
      </c>
      <c r="O7" s="13"/>
    </row>
    <row r="8" s="8" customFormat="1" ht="20" customHeight="1" spans="1:15">
      <c r="A8" s="13">
        <v>4</v>
      </c>
      <c r="B8" s="13" t="s">
        <v>28</v>
      </c>
      <c r="C8" s="13" t="s">
        <v>29</v>
      </c>
      <c r="D8" s="13">
        <v>94.43</v>
      </c>
      <c r="E8" s="13" t="s">
        <v>30</v>
      </c>
      <c r="F8" s="13">
        <v>90.5</v>
      </c>
      <c r="G8" s="13">
        <v>8</v>
      </c>
      <c r="H8" s="13">
        <v>0</v>
      </c>
      <c r="I8" s="13">
        <f t="shared" si="0"/>
        <v>92.995</v>
      </c>
      <c r="J8" s="13"/>
      <c r="K8" s="13"/>
      <c r="L8" s="13"/>
      <c r="M8" s="13"/>
      <c r="N8" s="13" t="s">
        <v>21</v>
      </c>
      <c r="O8" s="13"/>
    </row>
    <row r="9" s="8" customFormat="1" ht="20" customHeight="1" spans="1:15">
      <c r="A9" s="13">
        <v>5</v>
      </c>
      <c r="B9" s="13" t="s">
        <v>31</v>
      </c>
      <c r="C9" s="13" t="s">
        <v>32</v>
      </c>
      <c r="D9" s="13">
        <v>94.61</v>
      </c>
      <c r="E9" s="13" t="s">
        <v>33</v>
      </c>
      <c r="F9" s="13">
        <v>82.75</v>
      </c>
      <c r="G9" s="13">
        <v>0</v>
      </c>
      <c r="H9" s="13">
        <v>0</v>
      </c>
      <c r="I9" s="13">
        <f t="shared" si="0"/>
        <v>90.274</v>
      </c>
      <c r="J9" s="13"/>
      <c r="K9" s="13"/>
      <c r="L9" s="13" t="s">
        <v>21</v>
      </c>
      <c r="M9" s="13"/>
      <c r="N9" s="13" t="s">
        <v>21</v>
      </c>
      <c r="O9" s="13"/>
    </row>
    <row r="10" s="8" customFormat="1" ht="20" customHeight="1" spans="1:15">
      <c r="A10" s="13">
        <v>6</v>
      </c>
      <c r="B10" s="13" t="s">
        <v>34</v>
      </c>
      <c r="C10" s="13" t="s">
        <v>35</v>
      </c>
      <c r="D10" s="13">
        <v>97.46</v>
      </c>
      <c r="E10" s="13" t="s">
        <v>27</v>
      </c>
      <c r="F10" s="13">
        <v>78.75</v>
      </c>
      <c r="G10" s="13">
        <v>0</v>
      </c>
      <c r="H10" s="13">
        <v>0</v>
      </c>
      <c r="I10" s="13">
        <f t="shared" si="0"/>
        <v>89.313</v>
      </c>
      <c r="J10" s="13"/>
      <c r="K10" s="13"/>
      <c r="L10" s="13"/>
      <c r="M10" s="13"/>
      <c r="N10" s="13"/>
      <c r="O10" s="13"/>
    </row>
    <row r="11" s="8" customFormat="1" ht="20" customHeight="1" spans="1:15">
      <c r="A11" s="13">
        <v>7</v>
      </c>
      <c r="B11" s="13" t="s">
        <v>36</v>
      </c>
      <c r="C11" s="13" t="s">
        <v>37</v>
      </c>
      <c r="D11" s="13">
        <v>94.36</v>
      </c>
      <c r="E11" s="13" t="s">
        <v>38</v>
      </c>
      <c r="F11" s="13">
        <v>88.25</v>
      </c>
      <c r="G11" s="13">
        <v>0</v>
      </c>
      <c r="H11" s="13">
        <v>0</v>
      </c>
      <c r="I11" s="13">
        <f t="shared" si="0"/>
        <v>88.949</v>
      </c>
      <c r="J11" s="13"/>
      <c r="K11" s="13"/>
      <c r="L11" s="13"/>
      <c r="M11" s="13"/>
      <c r="N11" s="13"/>
      <c r="O11" s="13" t="s">
        <v>21</v>
      </c>
    </row>
    <row r="12" s="8" customFormat="1" ht="20" customHeight="1" spans="1:15">
      <c r="A12" s="13">
        <v>8</v>
      </c>
      <c r="B12" s="13" t="s">
        <v>39</v>
      </c>
      <c r="C12" s="13" t="s">
        <v>40</v>
      </c>
      <c r="D12" s="13">
        <v>96.68</v>
      </c>
      <c r="E12" s="13" t="s">
        <v>41</v>
      </c>
      <c r="F12" s="13">
        <v>88.5</v>
      </c>
      <c r="G12" s="13">
        <v>0</v>
      </c>
      <c r="H12" s="13">
        <v>2</v>
      </c>
      <c r="I12" s="13">
        <f t="shared" si="0"/>
        <v>88.6</v>
      </c>
      <c r="J12" s="13"/>
      <c r="K12" s="13"/>
      <c r="L12" s="13"/>
      <c r="M12" s="13"/>
      <c r="N12" s="13"/>
      <c r="O12" s="13"/>
    </row>
    <row r="13" s="8" customFormat="1" ht="20" customHeight="1" spans="1:15">
      <c r="A13" s="13">
        <v>9</v>
      </c>
      <c r="B13" s="13" t="s">
        <v>42</v>
      </c>
      <c r="C13" s="13" t="s">
        <v>43</v>
      </c>
      <c r="D13" s="13">
        <v>95.68</v>
      </c>
      <c r="E13" s="13" t="s">
        <v>44</v>
      </c>
      <c r="F13" s="13">
        <v>88</v>
      </c>
      <c r="G13" s="13">
        <v>4</v>
      </c>
      <c r="H13" s="13">
        <v>0</v>
      </c>
      <c r="I13" s="13">
        <f t="shared" si="0"/>
        <v>86.942</v>
      </c>
      <c r="J13" s="13"/>
      <c r="K13" s="13"/>
      <c r="L13" s="13"/>
      <c r="M13" s="13"/>
      <c r="N13" s="13"/>
      <c r="O13" s="13" t="s">
        <v>21</v>
      </c>
    </row>
    <row r="14" s="8" customFormat="1" ht="20" customHeight="1" spans="1:15">
      <c r="A14" s="13">
        <v>10</v>
      </c>
      <c r="B14" s="13" t="s">
        <v>45</v>
      </c>
      <c r="C14" s="13" t="s">
        <v>46</v>
      </c>
      <c r="D14" s="13">
        <v>96.71</v>
      </c>
      <c r="E14" s="13" t="s">
        <v>47</v>
      </c>
      <c r="F14" s="13">
        <v>86.5</v>
      </c>
      <c r="G14" s="13">
        <v>0</v>
      </c>
      <c r="H14" s="13">
        <v>0</v>
      </c>
      <c r="I14" s="13">
        <f t="shared" si="0"/>
        <v>86.755</v>
      </c>
      <c r="J14" s="13"/>
      <c r="K14" s="13"/>
      <c r="L14" s="13"/>
      <c r="M14" s="13"/>
      <c r="N14" s="13" t="s">
        <v>21</v>
      </c>
      <c r="O14" s="13"/>
    </row>
    <row r="15" s="8" customFormat="1" ht="20" customHeight="1" spans="1:15">
      <c r="A15" s="13">
        <v>11</v>
      </c>
      <c r="B15" s="13" t="s">
        <v>48</v>
      </c>
      <c r="C15" s="13" t="s">
        <v>49</v>
      </c>
      <c r="D15" s="13">
        <v>96.75</v>
      </c>
      <c r="E15" s="13" t="s">
        <v>50</v>
      </c>
      <c r="F15" s="13">
        <v>87.75</v>
      </c>
      <c r="G15" s="13">
        <v>0</v>
      </c>
      <c r="H15" s="13">
        <v>2</v>
      </c>
      <c r="I15" s="13">
        <f t="shared" si="0"/>
        <v>86.308</v>
      </c>
      <c r="J15" s="13"/>
      <c r="K15" s="13"/>
      <c r="L15" s="13"/>
      <c r="M15" s="13"/>
      <c r="N15" s="13"/>
      <c r="O15" s="13"/>
    </row>
    <row r="16" s="8" customFormat="1" ht="20" customHeight="1" spans="1:15">
      <c r="A16" s="13">
        <v>12</v>
      </c>
      <c r="B16" s="13" t="s">
        <v>51</v>
      </c>
      <c r="C16" s="13" t="s">
        <v>52</v>
      </c>
      <c r="D16" s="13">
        <v>93.89</v>
      </c>
      <c r="E16" s="13" t="s">
        <v>53</v>
      </c>
      <c r="F16" s="13">
        <v>86</v>
      </c>
      <c r="G16" s="13">
        <v>0</v>
      </c>
      <c r="H16" s="13">
        <v>0</v>
      </c>
      <c r="I16" s="13">
        <f t="shared" si="0"/>
        <v>86.237</v>
      </c>
      <c r="J16" s="13"/>
      <c r="K16" s="13"/>
      <c r="L16" s="13"/>
      <c r="M16" s="13"/>
      <c r="N16" s="13"/>
      <c r="O16" s="13" t="s">
        <v>21</v>
      </c>
    </row>
    <row r="17" s="8" customFormat="1" ht="20" customHeight="1" spans="1:15">
      <c r="A17" s="13">
        <v>13</v>
      </c>
      <c r="B17" s="13" t="s">
        <v>54</v>
      </c>
      <c r="C17" s="13" t="s">
        <v>55</v>
      </c>
      <c r="D17" s="13">
        <v>95.14</v>
      </c>
      <c r="E17" s="13" t="s">
        <v>47</v>
      </c>
      <c r="F17" s="13">
        <v>83</v>
      </c>
      <c r="G17" s="13">
        <v>0</v>
      </c>
      <c r="H17" s="13">
        <v>0</v>
      </c>
      <c r="I17" s="13">
        <f t="shared" si="0"/>
        <v>85.934</v>
      </c>
      <c r="J17" s="13"/>
      <c r="K17" s="13"/>
      <c r="L17" s="13"/>
      <c r="M17" s="13"/>
      <c r="N17" s="13"/>
      <c r="O17" s="13"/>
    </row>
    <row r="18" s="8" customFormat="1" ht="20" customHeight="1" spans="1:15">
      <c r="A18" s="14">
        <v>14</v>
      </c>
      <c r="B18" s="14" t="s">
        <v>56</v>
      </c>
      <c r="C18" s="14" t="s">
        <v>57</v>
      </c>
      <c r="D18" s="14">
        <v>94.21</v>
      </c>
      <c r="E18" s="14" t="s">
        <v>58</v>
      </c>
      <c r="F18" s="14">
        <v>83.25</v>
      </c>
      <c r="G18" s="14">
        <v>0</v>
      </c>
      <c r="H18" s="14">
        <v>0</v>
      </c>
      <c r="I18" s="14">
        <f t="shared" si="0"/>
        <v>85.518</v>
      </c>
      <c r="J18" s="14"/>
      <c r="K18" s="14"/>
      <c r="L18" s="14"/>
      <c r="M18" s="14"/>
      <c r="N18" s="14"/>
      <c r="O18" s="14"/>
    </row>
    <row r="19" s="8" customFormat="1" ht="20" customHeight="1" spans="1:15">
      <c r="A19" s="14">
        <v>15</v>
      </c>
      <c r="B19" s="14" t="s">
        <v>59</v>
      </c>
      <c r="C19" s="14" t="s">
        <v>60</v>
      </c>
      <c r="D19" s="14">
        <v>96.14</v>
      </c>
      <c r="E19" s="14" t="s">
        <v>61</v>
      </c>
      <c r="F19" s="14">
        <v>84.5</v>
      </c>
      <c r="G19" s="14">
        <v>0</v>
      </c>
      <c r="H19" s="14">
        <v>0</v>
      </c>
      <c r="I19" s="14">
        <f t="shared" si="0"/>
        <v>85.508</v>
      </c>
      <c r="J19" s="14"/>
      <c r="K19" s="14"/>
      <c r="L19" s="14"/>
      <c r="M19" s="14"/>
      <c r="N19" s="14"/>
      <c r="O19" s="14"/>
    </row>
    <row r="20" s="8" customFormat="1" ht="20" customHeight="1" spans="1:15">
      <c r="A20" s="14">
        <v>16</v>
      </c>
      <c r="B20" s="14" t="s">
        <v>62</v>
      </c>
      <c r="C20" s="14" t="s">
        <v>63</v>
      </c>
      <c r="D20" s="14">
        <v>95.53</v>
      </c>
      <c r="E20" s="14" t="s">
        <v>64</v>
      </c>
      <c r="F20" s="14">
        <v>83.5</v>
      </c>
      <c r="G20" s="14">
        <v>0</v>
      </c>
      <c r="H20" s="14">
        <v>4</v>
      </c>
      <c r="I20" s="14">
        <f t="shared" si="0"/>
        <v>85.101</v>
      </c>
      <c r="J20" s="14"/>
      <c r="K20" s="14"/>
      <c r="L20" s="14"/>
      <c r="M20" s="14"/>
      <c r="N20" s="14"/>
      <c r="O20" s="14"/>
    </row>
    <row r="21" s="8" customFormat="1" ht="20" customHeight="1" spans="1:15">
      <c r="A21" s="14">
        <v>17</v>
      </c>
      <c r="B21" s="14" t="s">
        <v>65</v>
      </c>
      <c r="C21" s="14" t="s">
        <v>66</v>
      </c>
      <c r="D21" s="14">
        <v>94.68</v>
      </c>
      <c r="E21" s="14" t="s">
        <v>67</v>
      </c>
      <c r="F21" s="14">
        <v>85</v>
      </c>
      <c r="G21" s="14">
        <v>4.5</v>
      </c>
      <c r="H21" s="14">
        <v>2</v>
      </c>
      <c r="I21" s="14">
        <f t="shared" si="0"/>
        <v>83.42</v>
      </c>
      <c r="J21" s="14"/>
      <c r="K21" s="14"/>
      <c r="L21" s="14"/>
      <c r="M21" s="14"/>
      <c r="N21" s="14"/>
      <c r="O21" s="14"/>
    </row>
    <row r="22" s="8" customFormat="1" ht="20" customHeight="1" spans="1:15">
      <c r="A22" s="14">
        <v>18</v>
      </c>
      <c r="B22" s="14" t="s">
        <v>68</v>
      </c>
      <c r="C22" s="14" t="s">
        <v>69</v>
      </c>
      <c r="D22" s="14">
        <v>95</v>
      </c>
      <c r="E22" s="14" t="s">
        <v>70</v>
      </c>
      <c r="F22" s="14">
        <v>76.5</v>
      </c>
      <c r="G22" s="14">
        <v>0</v>
      </c>
      <c r="H22" s="14">
        <v>0</v>
      </c>
      <c r="I22" s="14">
        <f t="shared" si="0"/>
        <v>82.242</v>
      </c>
      <c r="J22" s="14"/>
      <c r="K22" s="14"/>
      <c r="L22" s="14"/>
      <c r="M22" s="14"/>
      <c r="N22" s="14"/>
      <c r="O22" s="14"/>
    </row>
    <row r="23" s="8" customFormat="1" ht="20" customHeight="1" spans="1:15">
      <c r="A23" s="14">
        <v>19</v>
      </c>
      <c r="B23" s="14" t="s">
        <v>71</v>
      </c>
      <c r="C23" s="14" t="s">
        <v>72</v>
      </c>
      <c r="D23" s="14">
        <v>94.54</v>
      </c>
      <c r="E23" s="14" t="s">
        <v>73</v>
      </c>
      <c r="F23" s="14">
        <v>89.25</v>
      </c>
      <c r="G23" s="14">
        <v>0</v>
      </c>
      <c r="H23" s="14">
        <v>2</v>
      </c>
      <c r="I23" s="14">
        <f t="shared" si="0"/>
        <v>81.271</v>
      </c>
      <c r="J23" s="14"/>
      <c r="K23" s="14"/>
      <c r="L23" s="14"/>
      <c r="M23" s="14"/>
      <c r="N23" s="14"/>
      <c r="O23" s="14"/>
    </row>
    <row r="24" s="8" customFormat="1" ht="20" customHeight="1" spans="1:15">
      <c r="A24" s="14">
        <v>20</v>
      </c>
      <c r="B24" s="14" t="s">
        <v>74</v>
      </c>
      <c r="C24" s="14" t="s">
        <v>75</v>
      </c>
      <c r="D24" s="14">
        <v>96.64</v>
      </c>
      <c r="E24" s="14" t="s">
        <v>76</v>
      </c>
      <c r="F24" s="14">
        <v>87.25</v>
      </c>
      <c r="G24" s="14">
        <v>0</v>
      </c>
      <c r="H24" s="14">
        <v>4</v>
      </c>
      <c r="I24" s="14">
        <f t="shared" si="0"/>
        <v>79.371</v>
      </c>
      <c r="J24" s="14"/>
      <c r="K24" s="14"/>
      <c r="L24" s="14"/>
      <c r="M24" s="14"/>
      <c r="N24" s="14"/>
      <c r="O24" s="14"/>
    </row>
    <row r="25" s="8" customFormat="1" ht="20" customHeight="1" spans="1:15">
      <c r="A25" s="14">
        <v>21</v>
      </c>
      <c r="B25" s="14" t="s">
        <v>77</v>
      </c>
      <c r="C25" s="14" t="s">
        <v>78</v>
      </c>
      <c r="D25" s="14">
        <v>94.71</v>
      </c>
      <c r="E25" s="14" t="s">
        <v>79</v>
      </c>
      <c r="F25" s="14">
        <v>85.75</v>
      </c>
      <c r="G25" s="14">
        <v>0</v>
      </c>
      <c r="H25" s="14">
        <v>6</v>
      </c>
      <c r="I25" s="14">
        <f t="shared" si="0"/>
        <v>78.934</v>
      </c>
      <c r="J25" s="14"/>
      <c r="K25" s="14"/>
      <c r="L25" s="14"/>
      <c r="M25" s="14"/>
      <c r="N25" s="14"/>
      <c r="O25" s="14"/>
    </row>
    <row r="26" s="8" customFormat="1" ht="20" customHeight="1" spans="1:15">
      <c r="A26" s="14">
        <v>22</v>
      </c>
      <c r="B26" s="14" t="s">
        <v>80</v>
      </c>
      <c r="C26" s="14" t="s">
        <v>81</v>
      </c>
      <c r="D26" s="14">
        <v>94.46</v>
      </c>
      <c r="E26" s="14" t="s">
        <v>82</v>
      </c>
      <c r="F26" s="14">
        <v>84.75</v>
      </c>
      <c r="G26" s="14">
        <v>0</v>
      </c>
      <c r="H26" s="14">
        <v>0</v>
      </c>
      <c r="I26" s="14">
        <f t="shared" si="0"/>
        <v>78.867</v>
      </c>
      <c r="J26" s="14"/>
      <c r="K26" s="14"/>
      <c r="L26" s="14"/>
      <c r="M26" s="14"/>
      <c r="N26" s="14"/>
      <c r="O26" s="14"/>
    </row>
    <row r="27" s="8" customFormat="1" ht="20" customHeight="1" spans="1:15">
      <c r="A27" s="14">
        <v>23</v>
      </c>
      <c r="B27" s="14" t="s">
        <v>83</v>
      </c>
      <c r="C27" s="14" t="s">
        <v>84</v>
      </c>
      <c r="D27" s="14">
        <v>93.54</v>
      </c>
      <c r="E27" s="14" t="s">
        <v>85</v>
      </c>
      <c r="F27" s="14">
        <v>87.5</v>
      </c>
      <c r="G27" s="14">
        <v>0</v>
      </c>
      <c r="H27" s="14">
        <v>6</v>
      </c>
      <c r="I27" s="14">
        <f t="shared" si="0"/>
        <v>77.228</v>
      </c>
      <c r="J27" s="14"/>
      <c r="K27" s="14"/>
      <c r="L27" s="14"/>
      <c r="M27" s="14"/>
      <c r="N27" s="14"/>
      <c r="O27" s="14"/>
    </row>
    <row r="28" s="8" customFormat="1" ht="20" customHeight="1" spans="1:15">
      <c r="A28" s="14">
        <v>24</v>
      </c>
      <c r="B28" s="14" t="s">
        <v>86</v>
      </c>
      <c r="C28" s="14" t="s">
        <v>87</v>
      </c>
      <c r="D28" s="14">
        <v>96.29</v>
      </c>
      <c r="E28" s="14" t="s">
        <v>88</v>
      </c>
      <c r="F28" s="14">
        <v>79.5</v>
      </c>
      <c r="G28" s="14">
        <v>0</v>
      </c>
      <c r="H28" s="14">
        <v>8</v>
      </c>
      <c r="I28" s="14">
        <f t="shared" si="0"/>
        <v>77.107</v>
      </c>
      <c r="J28" s="14"/>
      <c r="K28" s="14"/>
      <c r="L28" s="14"/>
      <c r="M28" s="14"/>
      <c r="N28" s="14"/>
      <c r="O28" s="14"/>
    </row>
    <row r="29" s="8" customFormat="1" ht="20" customHeight="1" spans="1:15">
      <c r="A29" s="14">
        <v>25</v>
      </c>
      <c r="B29" s="14" t="s">
        <v>89</v>
      </c>
      <c r="C29" s="14" t="s">
        <v>90</v>
      </c>
      <c r="D29" s="14">
        <v>95.89</v>
      </c>
      <c r="E29" s="14" t="s">
        <v>91</v>
      </c>
      <c r="F29" s="14">
        <v>86.5</v>
      </c>
      <c r="G29" s="14">
        <v>0</v>
      </c>
      <c r="H29" s="14">
        <v>8</v>
      </c>
      <c r="I29" s="14">
        <f t="shared" si="0"/>
        <v>73.379</v>
      </c>
      <c r="J29" s="14"/>
      <c r="K29" s="14"/>
      <c r="L29" s="14"/>
      <c r="M29" s="14"/>
      <c r="N29" s="14"/>
      <c r="O29" s="14"/>
    </row>
    <row r="30" s="8" customFormat="1" ht="20" customHeight="1" spans="1:15">
      <c r="A30" s="14">
        <v>26</v>
      </c>
      <c r="B30" s="14" t="s">
        <v>92</v>
      </c>
      <c r="C30" s="14" t="s">
        <v>93</v>
      </c>
      <c r="D30" s="14">
        <v>94.75</v>
      </c>
      <c r="E30" s="14" t="s">
        <v>94</v>
      </c>
      <c r="F30" s="14">
        <v>75.25</v>
      </c>
      <c r="G30" s="14">
        <v>0</v>
      </c>
      <c r="H30" s="14">
        <v>10</v>
      </c>
      <c r="I30" s="14">
        <f t="shared" si="0"/>
        <v>70.08</v>
      </c>
      <c r="J30" s="14"/>
      <c r="K30" s="14"/>
      <c r="L30" s="14"/>
      <c r="M30" s="14"/>
      <c r="N30" s="14"/>
      <c r="O30" s="14"/>
    </row>
    <row r="31" s="8" customFormat="1" ht="20" customHeight="1" spans="1:15">
      <c r="A31" s="14">
        <v>27</v>
      </c>
      <c r="B31" s="14" t="s">
        <v>95</v>
      </c>
      <c r="C31" s="14" t="s">
        <v>96</v>
      </c>
      <c r="D31" s="14">
        <v>92.11</v>
      </c>
      <c r="E31" s="14" t="s">
        <v>97</v>
      </c>
      <c r="F31" s="14">
        <v>78.75</v>
      </c>
      <c r="G31" s="14">
        <v>0</v>
      </c>
      <c r="H31" s="14">
        <v>10</v>
      </c>
      <c r="I31" s="14">
        <f t="shared" si="0"/>
        <v>69.962</v>
      </c>
      <c r="J31" s="14"/>
      <c r="K31" s="14"/>
      <c r="L31" s="14"/>
      <c r="M31" s="14"/>
      <c r="N31" s="14"/>
      <c r="O31" s="14"/>
    </row>
    <row r="32" s="8" customFormat="1" ht="20" customHeight="1" spans="1:15">
      <c r="A32" s="14">
        <v>28</v>
      </c>
      <c r="B32" s="14" t="s">
        <v>98</v>
      </c>
      <c r="C32" s="14" t="s">
        <v>99</v>
      </c>
      <c r="D32" s="14">
        <v>94.71</v>
      </c>
      <c r="E32" s="14" t="s">
        <v>100</v>
      </c>
      <c r="F32" s="14">
        <v>81.25</v>
      </c>
      <c r="G32" s="14">
        <v>0</v>
      </c>
      <c r="H32" s="14">
        <v>16</v>
      </c>
      <c r="I32" s="14">
        <f t="shared" si="0"/>
        <v>69.522</v>
      </c>
      <c r="J32" s="14"/>
      <c r="K32" s="14"/>
      <c r="L32" s="14"/>
      <c r="M32" s="14"/>
      <c r="N32" s="14"/>
      <c r="O32" s="14"/>
    </row>
    <row r="33" s="8" customFormat="1" ht="20" customHeight="1" spans="1:15">
      <c r="A33" s="14">
        <v>29</v>
      </c>
      <c r="B33" s="14" t="s">
        <v>101</v>
      </c>
      <c r="C33" s="14" t="s">
        <v>102</v>
      </c>
      <c r="D33" s="14">
        <v>93.18</v>
      </c>
      <c r="E33" s="14" t="s">
        <v>103</v>
      </c>
      <c r="F33" s="14">
        <v>83.5</v>
      </c>
      <c r="G33" s="14">
        <v>0</v>
      </c>
      <c r="H33" s="14">
        <v>14</v>
      </c>
      <c r="I33" s="14">
        <f t="shared" si="0"/>
        <v>68.774</v>
      </c>
      <c r="J33" s="14"/>
      <c r="K33" s="14"/>
      <c r="L33" s="14"/>
      <c r="M33" s="14"/>
      <c r="N33" s="14"/>
      <c r="O33" s="14"/>
    </row>
    <row r="34" s="8" customFormat="1" ht="20" customHeight="1" spans="1:15">
      <c r="A34" s="14">
        <v>30</v>
      </c>
      <c r="B34" s="14" t="s">
        <v>104</v>
      </c>
      <c r="C34" s="14" t="s">
        <v>105</v>
      </c>
      <c r="D34" s="14">
        <v>92.61</v>
      </c>
      <c r="E34" s="14" t="s">
        <v>106</v>
      </c>
      <c r="F34" s="14">
        <v>75.75</v>
      </c>
      <c r="G34" s="14">
        <v>0</v>
      </c>
      <c r="H34" s="14">
        <v>16</v>
      </c>
      <c r="I34" s="14">
        <f t="shared" si="0"/>
        <v>60.758</v>
      </c>
      <c r="J34" s="14"/>
      <c r="K34" s="14"/>
      <c r="L34" s="14"/>
      <c r="M34" s="14"/>
      <c r="N34" s="14"/>
      <c r="O34" s="14"/>
    </row>
    <row r="35" s="8" customFormat="1" ht="20" customHeight="1" spans="1:15">
      <c r="A35" s="14">
        <v>31</v>
      </c>
      <c r="B35" s="14" t="s">
        <v>107</v>
      </c>
      <c r="C35" s="14" t="s">
        <v>108</v>
      </c>
      <c r="D35" s="14">
        <v>93.32</v>
      </c>
      <c r="E35" s="14" t="s">
        <v>109</v>
      </c>
      <c r="F35" s="14">
        <v>81.5</v>
      </c>
      <c r="G35" s="14">
        <v>0</v>
      </c>
      <c r="H35" s="14">
        <v>28</v>
      </c>
      <c r="I35" s="14">
        <f t="shared" si="0"/>
        <v>55.546</v>
      </c>
      <c r="J35" s="14"/>
      <c r="K35" s="14"/>
      <c r="L35" s="14"/>
      <c r="M35" s="14"/>
      <c r="N35" s="14"/>
      <c r="O35" s="14"/>
    </row>
    <row r="36" s="8" customFormat="1" ht="20" customHeight="1" spans="1:15">
      <c r="A36" s="14">
        <v>32</v>
      </c>
      <c r="B36" s="14" t="s">
        <v>110</v>
      </c>
      <c r="C36" s="14" t="s">
        <v>111</v>
      </c>
      <c r="D36" s="14">
        <v>92.61</v>
      </c>
      <c r="E36" s="14" t="s">
        <v>112</v>
      </c>
      <c r="F36" s="14">
        <v>82.5</v>
      </c>
      <c r="G36" s="14">
        <v>0</v>
      </c>
      <c r="H36" s="14">
        <v>26</v>
      </c>
      <c r="I36" s="14">
        <f t="shared" si="0"/>
        <v>54.325</v>
      </c>
      <c r="J36" s="14"/>
      <c r="K36" s="14"/>
      <c r="L36" s="14"/>
      <c r="M36" s="14"/>
      <c r="N36" s="14"/>
      <c r="O36" s="14"/>
    </row>
    <row r="37" s="8" customFormat="1" ht="20" customHeight="1" spans="1:15">
      <c r="A37" s="14">
        <v>33</v>
      </c>
      <c r="B37" s="14" t="s">
        <v>113</v>
      </c>
      <c r="C37" s="14" t="s">
        <v>114</v>
      </c>
      <c r="D37" s="14">
        <v>93</v>
      </c>
      <c r="E37" s="14" t="s">
        <v>115</v>
      </c>
      <c r="F37" s="14">
        <v>64.75</v>
      </c>
      <c r="G37" s="14">
        <v>0</v>
      </c>
      <c r="H37" s="14">
        <v>30</v>
      </c>
      <c r="I37" s="14">
        <f t="shared" si="0"/>
        <v>45.505</v>
      </c>
      <c r="J37" s="14"/>
      <c r="K37" s="14"/>
      <c r="L37" s="14"/>
      <c r="M37" s="14"/>
      <c r="N37" s="14"/>
      <c r="O37" s="14"/>
    </row>
    <row r="38" s="8" customFormat="1" ht="20" customHeight="1" spans="1:15">
      <c r="A38" s="14">
        <v>34</v>
      </c>
      <c r="B38" s="14" t="s">
        <v>116</v>
      </c>
      <c r="C38" s="14" t="s">
        <v>117</v>
      </c>
      <c r="D38" s="14">
        <v>92.97</v>
      </c>
      <c r="E38" s="14" t="s">
        <v>118</v>
      </c>
      <c r="F38" s="14">
        <v>78</v>
      </c>
      <c r="G38" s="14">
        <v>0</v>
      </c>
      <c r="H38" s="14">
        <v>40</v>
      </c>
      <c r="I38" s="14">
        <f t="shared" si="0"/>
        <v>32.891</v>
      </c>
      <c r="J38" s="14"/>
      <c r="K38" s="14"/>
      <c r="L38" s="14"/>
      <c r="M38" s="14"/>
      <c r="N38" s="14"/>
      <c r="O38" s="14"/>
    </row>
    <row r="39" spans="1:15">
      <c r="A39" s="19" t="s">
        <v>119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</row>
  </sheetData>
  <mergeCells count="4">
    <mergeCell ref="A1:O1"/>
    <mergeCell ref="A2:O2"/>
    <mergeCell ref="A3:O3"/>
    <mergeCell ref="A39:O39"/>
  </mergeCells>
  <pageMargins left="0.75" right="0.75" top="1" bottom="1" header="0.5" footer="0.5"/>
  <pageSetup paperSize="9" scale="8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"/>
  <sheetViews>
    <sheetView workbookViewId="0">
      <selection activeCell="N10" sqref="N10"/>
    </sheetView>
  </sheetViews>
  <sheetFormatPr defaultColWidth="9" defaultRowHeight="16.8"/>
  <cols>
    <col min="2" max="2" width="16.3365384615385" customWidth="1"/>
    <col min="3" max="3" width="11.5288461538462" customWidth="1"/>
    <col min="4" max="4" width="13.2980769230769" customWidth="1"/>
    <col min="5" max="5" width="12.9711538461538" customWidth="1"/>
    <col min="6" max="6" width="14.7403846153846" customWidth="1"/>
    <col min="7" max="7" width="13.7788461538462" customWidth="1"/>
    <col min="8" max="8" width="11.6923076923077" customWidth="1"/>
    <col min="9" max="9" width="19.5480769230769" customWidth="1"/>
  </cols>
  <sheetData>
    <row r="1" spans="1:1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ht="38" customHeight="1" spans="1:15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ht="29" customHeight="1" spans="1:15">
      <c r="A3" s="51" t="s">
        <v>120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</row>
    <row r="4" ht="65" customHeight="1" spans="1:15">
      <c r="A4" s="40" t="s">
        <v>3</v>
      </c>
      <c r="B4" s="40" t="s">
        <v>4</v>
      </c>
      <c r="C4" s="40" t="s">
        <v>5</v>
      </c>
      <c r="D4" s="40" t="s">
        <v>6</v>
      </c>
      <c r="E4" s="40" t="s">
        <v>7</v>
      </c>
      <c r="F4" s="40" t="s">
        <v>8</v>
      </c>
      <c r="G4" s="40" t="s">
        <v>9</v>
      </c>
      <c r="H4" s="40" t="s">
        <v>10</v>
      </c>
      <c r="I4" s="40" t="s">
        <v>11</v>
      </c>
      <c r="J4" s="40" t="s">
        <v>12</v>
      </c>
      <c r="K4" s="40" t="s">
        <v>13</v>
      </c>
      <c r="L4" s="40" t="s">
        <v>14</v>
      </c>
      <c r="M4" s="40" t="s">
        <v>15</v>
      </c>
      <c r="N4" s="40" t="s">
        <v>16</v>
      </c>
      <c r="O4" s="40" t="s">
        <v>17</v>
      </c>
    </row>
    <row r="5" s="8" customFormat="1" ht="20" customHeight="1" spans="1:15">
      <c r="A5" s="13">
        <v>1</v>
      </c>
      <c r="B5" s="13">
        <v>20230802101</v>
      </c>
      <c r="C5" s="13" t="s">
        <v>121</v>
      </c>
      <c r="D5" s="13">
        <v>97.94</v>
      </c>
      <c r="E5" s="13" t="s">
        <v>122</v>
      </c>
      <c r="F5" s="13">
        <v>86.5</v>
      </c>
      <c r="G5" s="13">
        <v>26.5</v>
      </c>
      <c r="H5" s="13"/>
      <c r="I5" s="13">
        <f t="shared" ref="I5:I41" si="0">D5*0.3+E5*0.6+F5*0.1+G5-H5</f>
        <v>118.64</v>
      </c>
      <c r="J5" s="13"/>
      <c r="K5" s="13" t="s">
        <v>21</v>
      </c>
      <c r="L5" s="13"/>
      <c r="M5" s="13"/>
      <c r="N5" s="13" t="s">
        <v>21</v>
      </c>
      <c r="O5" s="13"/>
    </row>
    <row r="6" s="8" customFormat="1" ht="20" customHeight="1" spans="1:15">
      <c r="A6" s="13">
        <v>2</v>
      </c>
      <c r="B6" s="13" t="s">
        <v>123</v>
      </c>
      <c r="C6" s="13" t="s">
        <v>124</v>
      </c>
      <c r="D6" s="13">
        <v>97.94</v>
      </c>
      <c r="E6" s="13" t="s">
        <v>125</v>
      </c>
      <c r="F6" s="13">
        <v>87.25</v>
      </c>
      <c r="G6" s="13">
        <v>24</v>
      </c>
      <c r="H6" s="13"/>
      <c r="I6" s="13">
        <f t="shared" si="0"/>
        <v>112.123</v>
      </c>
      <c r="J6" s="13"/>
      <c r="K6" s="13"/>
      <c r="L6" s="13"/>
      <c r="M6" s="13"/>
      <c r="N6" s="13" t="s">
        <v>21</v>
      </c>
      <c r="O6" s="13"/>
    </row>
    <row r="7" s="8" customFormat="1" ht="20" customHeight="1" spans="1:15">
      <c r="A7" s="13">
        <v>3</v>
      </c>
      <c r="B7" s="13" t="s">
        <v>126</v>
      </c>
      <c r="C7" s="13" t="s">
        <v>127</v>
      </c>
      <c r="D7" s="13">
        <v>98.53</v>
      </c>
      <c r="E7" s="13" t="s">
        <v>24</v>
      </c>
      <c r="F7" s="13">
        <v>85.5</v>
      </c>
      <c r="G7" s="13">
        <v>18</v>
      </c>
      <c r="H7" s="13"/>
      <c r="I7" s="13">
        <f t="shared" si="0"/>
        <v>109.563</v>
      </c>
      <c r="J7" s="13"/>
      <c r="K7" s="13"/>
      <c r="L7" s="13" t="s">
        <v>21</v>
      </c>
      <c r="M7" s="13"/>
      <c r="N7" s="13" t="s">
        <v>21</v>
      </c>
      <c r="O7" s="13"/>
    </row>
    <row r="8" s="8" customFormat="1" ht="20" customHeight="1" spans="1:15">
      <c r="A8" s="13">
        <v>4</v>
      </c>
      <c r="B8" s="13" t="s">
        <v>128</v>
      </c>
      <c r="C8" s="13" t="s">
        <v>129</v>
      </c>
      <c r="D8" s="13">
        <v>97.41</v>
      </c>
      <c r="E8" s="13" t="s">
        <v>130</v>
      </c>
      <c r="F8" s="13">
        <v>84.5</v>
      </c>
      <c r="G8" s="13">
        <v>8</v>
      </c>
      <c r="H8" s="13"/>
      <c r="I8" s="13">
        <f t="shared" si="0"/>
        <v>96.619</v>
      </c>
      <c r="J8" s="13"/>
      <c r="K8" s="13"/>
      <c r="L8" s="13"/>
      <c r="M8" s="13"/>
      <c r="N8" s="13" t="s">
        <v>21</v>
      </c>
      <c r="O8" s="13"/>
    </row>
    <row r="9" s="8" customFormat="1" ht="20" customHeight="1" spans="1:15">
      <c r="A9" s="13">
        <v>5</v>
      </c>
      <c r="B9" s="13" t="s">
        <v>131</v>
      </c>
      <c r="C9" s="13" t="s">
        <v>132</v>
      </c>
      <c r="D9" s="13">
        <v>98.15</v>
      </c>
      <c r="E9" s="13" t="s">
        <v>133</v>
      </c>
      <c r="F9" s="13">
        <v>92.75</v>
      </c>
      <c r="G9" s="13">
        <v>2</v>
      </c>
      <c r="H9" s="13"/>
      <c r="I9" s="13">
        <f t="shared" si="0"/>
        <v>92.482</v>
      </c>
      <c r="J9" s="13"/>
      <c r="K9" s="13"/>
      <c r="L9" s="13"/>
      <c r="M9" s="13"/>
      <c r="N9" s="13" t="s">
        <v>21</v>
      </c>
      <c r="O9" s="13"/>
    </row>
    <row r="10" s="8" customFormat="1" ht="20" customHeight="1" spans="1:15">
      <c r="A10" s="13">
        <v>6</v>
      </c>
      <c r="B10" s="13" t="s">
        <v>134</v>
      </c>
      <c r="C10" s="13" t="s">
        <v>135</v>
      </c>
      <c r="D10" s="13">
        <v>96.65</v>
      </c>
      <c r="E10" s="13" t="s">
        <v>136</v>
      </c>
      <c r="F10" s="13">
        <v>80</v>
      </c>
      <c r="G10" s="13">
        <v>8</v>
      </c>
      <c r="H10" s="13"/>
      <c r="I10" s="13">
        <f t="shared" si="0"/>
        <v>92.341</v>
      </c>
      <c r="J10" s="13"/>
      <c r="K10" s="13"/>
      <c r="L10" s="13"/>
      <c r="M10" s="13"/>
      <c r="N10" s="13" t="s">
        <v>21</v>
      </c>
      <c r="O10" s="13"/>
    </row>
    <row r="11" s="8" customFormat="1" ht="20" customHeight="1" spans="1:15">
      <c r="A11" s="13">
        <v>7</v>
      </c>
      <c r="B11" s="13" t="s">
        <v>137</v>
      </c>
      <c r="C11" s="13" t="s">
        <v>138</v>
      </c>
      <c r="D11" s="13">
        <v>95.97</v>
      </c>
      <c r="E11" s="13" t="s">
        <v>139</v>
      </c>
      <c r="F11" s="13">
        <v>87.75</v>
      </c>
      <c r="G11" s="13">
        <v>1</v>
      </c>
      <c r="H11" s="13"/>
      <c r="I11" s="13">
        <f t="shared" si="0"/>
        <v>90.928</v>
      </c>
      <c r="J11" s="13"/>
      <c r="K11" s="13"/>
      <c r="L11" s="13"/>
      <c r="M11" s="13" t="s">
        <v>21</v>
      </c>
      <c r="N11" s="13"/>
      <c r="O11" s="13" t="s">
        <v>21</v>
      </c>
    </row>
    <row r="12" s="8" customFormat="1" ht="20" customHeight="1" spans="1:15">
      <c r="A12" s="13">
        <v>8</v>
      </c>
      <c r="B12" s="13" t="s">
        <v>140</v>
      </c>
      <c r="C12" s="13" t="s">
        <v>141</v>
      </c>
      <c r="D12" s="13">
        <v>97.82</v>
      </c>
      <c r="E12" s="13" t="s">
        <v>142</v>
      </c>
      <c r="F12" s="13">
        <v>90.25</v>
      </c>
      <c r="G12" s="13">
        <v>2</v>
      </c>
      <c r="H12" s="13"/>
      <c r="I12" s="13">
        <f t="shared" si="0"/>
        <v>90.063</v>
      </c>
      <c r="J12" s="13"/>
      <c r="K12" s="13"/>
      <c r="L12" s="13"/>
      <c r="M12" s="13"/>
      <c r="N12" s="13"/>
      <c r="O12" s="13"/>
    </row>
    <row r="13" s="8" customFormat="1" ht="20" customHeight="1" spans="1:15">
      <c r="A13" s="13">
        <v>9</v>
      </c>
      <c r="B13" s="13" t="s">
        <v>143</v>
      </c>
      <c r="C13" s="13" t="s">
        <v>144</v>
      </c>
      <c r="D13" s="13">
        <v>96.88</v>
      </c>
      <c r="E13" s="13" t="s">
        <v>145</v>
      </c>
      <c r="F13" s="13">
        <v>87.5</v>
      </c>
      <c r="G13" s="13">
        <v>1</v>
      </c>
      <c r="H13" s="13"/>
      <c r="I13" s="13">
        <f t="shared" si="0"/>
        <v>88.776</v>
      </c>
      <c r="J13" s="13"/>
      <c r="K13" s="13"/>
      <c r="L13" s="13"/>
      <c r="M13" s="13"/>
      <c r="N13" s="13"/>
      <c r="O13" s="13" t="s">
        <v>21</v>
      </c>
    </row>
    <row r="14" s="8" customFormat="1" ht="20" customHeight="1" spans="1:15">
      <c r="A14" s="13">
        <v>10</v>
      </c>
      <c r="B14" s="13" t="s">
        <v>146</v>
      </c>
      <c r="C14" s="13" t="s">
        <v>147</v>
      </c>
      <c r="D14" s="13">
        <v>96.97</v>
      </c>
      <c r="E14" s="13" t="s">
        <v>148</v>
      </c>
      <c r="F14" s="13">
        <v>87.25</v>
      </c>
      <c r="G14" s="13"/>
      <c r="H14" s="13"/>
      <c r="I14" s="13">
        <f t="shared" si="0"/>
        <v>87.616</v>
      </c>
      <c r="J14" s="13"/>
      <c r="K14" s="13"/>
      <c r="L14" s="13"/>
      <c r="M14" s="13"/>
      <c r="N14" s="13"/>
      <c r="O14" s="13"/>
    </row>
    <row r="15" s="8" customFormat="1" ht="20" customHeight="1" spans="1:15">
      <c r="A15" s="13">
        <v>11</v>
      </c>
      <c r="B15" s="13" t="s">
        <v>149</v>
      </c>
      <c r="C15" s="13" t="s">
        <v>150</v>
      </c>
      <c r="D15" s="13">
        <v>98.21</v>
      </c>
      <c r="E15" s="13" t="s">
        <v>151</v>
      </c>
      <c r="F15" s="13">
        <v>85.25</v>
      </c>
      <c r="G15" s="13"/>
      <c r="H15" s="13"/>
      <c r="I15" s="13">
        <f t="shared" si="0"/>
        <v>87.572</v>
      </c>
      <c r="J15" s="13"/>
      <c r="K15" s="13"/>
      <c r="L15" s="13"/>
      <c r="M15" s="13"/>
      <c r="N15" s="13"/>
      <c r="O15" s="13"/>
    </row>
    <row r="16" s="8" customFormat="1" ht="20" customHeight="1" spans="1:15">
      <c r="A16" s="13">
        <v>12</v>
      </c>
      <c r="B16" s="13" t="s">
        <v>152</v>
      </c>
      <c r="C16" s="13" t="s">
        <v>153</v>
      </c>
      <c r="D16" s="13">
        <v>97.15</v>
      </c>
      <c r="E16" s="13" t="s">
        <v>154</v>
      </c>
      <c r="F16" s="13">
        <v>78.75</v>
      </c>
      <c r="G16" s="13">
        <v>4</v>
      </c>
      <c r="H16" s="13"/>
      <c r="I16" s="13">
        <f t="shared" si="0"/>
        <v>86.404</v>
      </c>
      <c r="J16" s="13"/>
      <c r="K16" s="13"/>
      <c r="L16" s="13"/>
      <c r="M16" s="13"/>
      <c r="N16" s="13"/>
      <c r="O16" s="13"/>
    </row>
    <row r="17" s="8" customFormat="1" ht="20" customHeight="1" spans="1:15">
      <c r="A17" s="13">
        <v>13</v>
      </c>
      <c r="B17" s="13" t="s">
        <v>155</v>
      </c>
      <c r="C17" s="13" t="s">
        <v>156</v>
      </c>
      <c r="D17" s="13">
        <v>95.74</v>
      </c>
      <c r="E17" s="13" t="s">
        <v>157</v>
      </c>
      <c r="F17" s="13">
        <v>83.25</v>
      </c>
      <c r="G17" s="13">
        <v>1</v>
      </c>
      <c r="H17" s="13"/>
      <c r="I17" s="13">
        <f t="shared" si="0"/>
        <v>86.377</v>
      </c>
      <c r="J17" s="13"/>
      <c r="K17" s="13"/>
      <c r="L17" s="13"/>
      <c r="M17" s="13"/>
      <c r="N17" s="13"/>
      <c r="O17" s="13" t="s">
        <v>21</v>
      </c>
    </row>
    <row r="18" s="8" customFormat="1" ht="20" customHeight="1" spans="1:15">
      <c r="A18" s="13">
        <v>14</v>
      </c>
      <c r="B18" s="13" t="s">
        <v>158</v>
      </c>
      <c r="C18" s="13" t="s">
        <v>159</v>
      </c>
      <c r="D18" s="13">
        <v>97.41</v>
      </c>
      <c r="E18" s="13" t="s">
        <v>160</v>
      </c>
      <c r="F18" s="13">
        <v>83.5</v>
      </c>
      <c r="G18" s="13"/>
      <c r="H18" s="13"/>
      <c r="I18" s="13">
        <f t="shared" si="0"/>
        <v>86.281</v>
      </c>
      <c r="J18" s="13"/>
      <c r="K18" s="13"/>
      <c r="L18" s="13"/>
      <c r="M18" s="13"/>
      <c r="N18" s="13"/>
      <c r="O18" s="13"/>
    </row>
    <row r="19" s="8" customFormat="1" ht="20" customHeight="1" spans="1:15">
      <c r="A19" s="14">
        <v>15</v>
      </c>
      <c r="B19" s="14" t="s">
        <v>161</v>
      </c>
      <c r="C19" s="14" t="s">
        <v>162</v>
      </c>
      <c r="D19" s="14">
        <v>96.91</v>
      </c>
      <c r="E19" s="14" t="s">
        <v>163</v>
      </c>
      <c r="F19" s="14">
        <v>85</v>
      </c>
      <c r="G19" s="14"/>
      <c r="H19" s="14">
        <v>2</v>
      </c>
      <c r="I19" s="14">
        <f t="shared" si="0"/>
        <v>85.319</v>
      </c>
      <c r="J19" s="14"/>
      <c r="K19" s="14"/>
      <c r="L19" s="14"/>
      <c r="M19" s="14"/>
      <c r="N19" s="14"/>
      <c r="O19" s="14"/>
    </row>
    <row r="20" s="8" customFormat="1" ht="20" customHeight="1" spans="1:15">
      <c r="A20" s="14">
        <v>16</v>
      </c>
      <c r="B20" s="14" t="s">
        <v>164</v>
      </c>
      <c r="C20" s="14" t="s">
        <v>165</v>
      </c>
      <c r="D20" s="14">
        <v>97.26</v>
      </c>
      <c r="E20" s="14" t="s">
        <v>166</v>
      </c>
      <c r="F20" s="14">
        <v>85.25</v>
      </c>
      <c r="G20" s="14">
        <v>1</v>
      </c>
      <c r="H20" s="14">
        <v>2</v>
      </c>
      <c r="I20" s="14">
        <f t="shared" si="0"/>
        <v>84.757</v>
      </c>
      <c r="J20" s="14"/>
      <c r="K20" s="14"/>
      <c r="L20" s="14"/>
      <c r="M20" s="14"/>
      <c r="N20" s="14"/>
      <c r="O20" s="14"/>
    </row>
    <row r="21" s="8" customFormat="1" ht="20" customHeight="1" spans="1:15">
      <c r="A21" s="14">
        <v>17</v>
      </c>
      <c r="B21" s="14" t="s">
        <v>167</v>
      </c>
      <c r="C21" s="14" t="s">
        <v>168</v>
      </c>
      <c r="D21" s="14">
        <v>97.44</v>
      </c>
      <c r="E21" s="14" t="s">
        <v>157</v>
      </c>
      <c r="F21" s="14">
        <v>88</v>
      </c>
      <c r="G21" s="14"/>
      <c r="H21" s="14">
        <v>2</v>
      </c>
      <c r="I21" s="14">
        <f t="shared" si="0"/>
        <v>84.362</v>
      </c>
      <c r="J21" s="14"/>
      <c r="K21" s="14"/>
      <c r="L21" s="14"/>
      <c r="M21" s="14"/>
      <c r="N21" s="14"/>
      <c r="O21" s="14"/>
    </row>
    <row r="22" s="8" customFormat="1" ht="20" customHeight="1" spans="1:15">
      <c r="A22" s="14">
        <v>18</v>
      </c>
      <c r="B22" s="14" t="s">
        <v>169</v>
      </c>
      <c r="C22" s="14" t="s">
        <v>170</v>
      </c>
      <c r="D22" s="14">
        <v>98.11</v>
      </c>
      <c r="E22" s="14" t="s">
        <v>171</v>
      </c>
      <c r="F22" s="14">
        <v>81.25</v>
      </c>
      <c r="G22" s="14"/>
      <c r="H22" s="14"/>
      <c r="I22" s="14">
        <f t="shared" si="0"/>
        <v>84.25</v>
      </c>
      <c r="J22" s="14"/>
      <c r="K22" s="14"/>
      <c r="L22" s="14"/>
      <c r="M22" s="14"/>
      <c r="N22" s="14"/>
      <c r="O22" s="14"/>
    </row>
    <row r="23" s="8" customFormat="1" ht="20" customHeight="1" spans="1:15">
      <c r="A23" s="14">
        <v>19</v>
      </c>
      <c r="B23" s="14" t="s">
        <v>172</v>
      </c>
      <c r="C23" s="14" t="s">
        <v>173</v>
      </c>
      <c r="D23" s="14">
        <v>97.62</v>
      </c>
      <c r="E23" s="14" t="s">
        <v>174</v>
      </c>
      <c r="F23" s="14">
        <v>88.75</v>
      </c>
      <c r="G23" s="14"/>
      <c r="H23" s="14"/>
      <c r="I23" s="14">
        <f t="shared" si="0"/>
        <v>84.199</v>
      </c>
      <c r="J23" s="14"/>
      <c r="K23" s="14"/>
      <c r="L23" s="14"/>
      <c r="M23" s="14"/>
      <c r="N23" s="14"/>
      <c r="O23" s="14"/>
    </row>
    <row r="24" s="8" customFormat="1" ht="20" customHeight="1" spans="1:15">
      <c r="A24" s="14">
        <v>20</v>
      </c>
      <c r="B24" s="14" t="s">
        <v>175</v>
      </c>
      <c r="C24" s="14" t="s">
        <v>176</v>
      </c>
      <c r="D24" s="14">
        <v>97.32</v>
      </c>
      <c r="E24" s="14" t="s">
        <v>88</v>
      </c>
      <c r="F24" s="14">
        <v>83.25</v>
      </c>
      <c r="G24" s="14"/>
      <c r="H24" s="14">
        <v>2</v>
      </c>
      <c r="I24" s="14">
        <f t="shared" si="0"/>
        <v>83.791</v>
      </c>
      <c r="J24" s="14"/>
      <c r="K24" s="14"/>
      <c r="L24" s="14"/>
      <c r="M24" s="14"/>
      <c r="N24" s="14"/>
      <c r="O24" s="14"/>
    </row>
    <row r="25" s="8" customFormat="1" ht="20" customHeight="1" spans="1:15">
      <c r="A25" s="14">
        <v>21</v>
      </c>
      <c r="B25" s="14" t="s">
        <v>177</v>
      </c>
      <c r="C25" s="14" t="s">
        <v>178</v>
      </c>
      <c r="D25" s="14">
        <v>97.03</v>
      </c>
      <c r="E25" s="14" t="s">
        <v>179</v>
      </c>
      <c r="F25" s="14">
        <v>80.25</v>
      </c>
      <c r="G25" s="14"/>
      <c r="H25" s="14"/>
      <c r="I25" s="14">
        <f t="shared" si="0"/>
        <v>83.718</v>
      </c>
      <c r="J25" s="14"/>
      <c r="K25" s="14"/>
      <c r="L25" s="14"/>
      <c r="M25" s="14"/>
      <c r="N25" s="14"/>
      <c r="O25" s="14"/>
    </row>
    <row r="26" s="8" customFormat="1" ht="20" customHeight="1" spans="1:15">
      <c r="A26" s="14">
        <v>22</v>
      </c>
      <c r="B26" s="14" t="s">
        <v>180</v>
      </c>
      <c r="C26" s="14" t="s">
        <v>181</v>
      </c>
      <c r="D26" s="14">
        <v>97.74</v>
      </c>
      <c r="E26" s="14" t="s">
        <v>182</v>
      </c>
      <c r="F26" s="14">
        <v>83.5</v>
      </c>
      <c r="G26" s="14"/>
      <c r="H26" s="14">
        <v>2</v>
      </c>
      <c r="I26" s="14">
        <f t="shared" si="0"/>
        <v>83.672</v>
      </c>
      <c r="J26" s="14"/>
      <c r="K26" s="14"/>
      <c r="L26" s="14"/>
      <c r="M26" s="14"/>
      <c r="N26" s="14"/>
      <c r="O26" s="14"/>
    </row>
    <row r="27" s="8" customFormat="1" ht="20" customHeight="1" spans="1:15">
      <c r="A27" s="14">
        <v>23</v>
      </c>
      <c r="B27" s="14" t="s">
        <v>183</v>
      </c>
      <c r="C27" s="14" t="s">
        <v>184</v>
      </c>
      <c r="D27" s="14">
        <v>96.53</v>
      </c>
      <c r="E27" s="14" t="s">
        <v>185</v>
      </c>
      <c r="F27" s="14">
        <v>78.5</v>
      </c>
      <c r="G27" s="14"/>
      <c r="H27" s="14"/>
      <c r="I27" s="14">
        <f t="shared" si="0"/>
        <v>83.117</v>
      </c>
      <c r="J27" s="14"/>
      <c r="K27" s="14"/>
      <c r="L27" s="14"/>
      <c r="M27" s="14"/>
      <c r="N27" s="14"/>
      <c r="O27" s="14"/>
    </row>
    <row r="28" s="8" customFormat="1" ht="20" customHeight="1" spans="1:15">
      <c r="A28" s="14">
        <v>24</v>
      </c>
      <c r="B28" s="14" t="s">
        <v>186</v>
      </c>
      <c r="C28" s="14" t="s">
        <v>187</v>
      </c>
      <c r="D28" s="14">
        <v>97.31</v>
      </c>
      <c r="E28" s="14" t="s">
        <v>171</v>
      </c>
      <c r="F28" s="14">
        <v>81.75</v>
      </c>
      <c r="G28" s="14"/>
      <c r="H28" s="14">
        <v>2</v>
      </c>
      <c r="I28" s="14">
        <f t="shared" si="0"/>
        <v>82.06</v>
      </c>
      <c r="J28" s="14"/>
      <c r="K28" s="14"/>
      <c r="L28" s="14"/>
      <c r="M28" s="14"/>
      <c r="N28" s="14"/>
      <c r="O28" s="14"/>
    </row>
    <row r="29" s="8" customFormat="1" ht="20" customHeight="1" spans="1:15">
      <c r="A29" s="14">
        <v>25</v>
      </c>
      <c r="B29" s="14" t="s">
        <v>188</v>
      </c>
      <c r="C29" s="14" t="s">
        <v>189</v>
      </c>
      <c r="D29" s="14">
        <v>98.06</v>
      </c>
      <c r="E29" s="14" t="s">
        <v>190</v>
      </c>
      <c r="F29" s="14">
        <v>85</v>
      </c>
      <c r="G29" s="14"/>
      <c r="H29" s="14">
        <v>6</v>
      </c>
      <c r="I29" s="14">
        <f t="shared" si="0"/>
        <v>81.556</v>
      </c>
      <c r="J29" s="14"/>
      <c r="K29" s="14"/>
      <c r="L29" s="14"/>
      <c r="M29" s="14"/>
      <c r="N29" s="14"/>
      <c r="O29" s="14"/>
    </row>
    <row r="30" s="8" customFormat="1" ht="20" customHeight="1" spans="1:15">
      <c r="A30" s="14">
        <v>26</v>
      </c>
      <c r="B30" s="14" t="s">
        <v>191</v>
      </c>
      <c r="C30" s="14" t="s">
        <v>192</v>
      </c>
      <c r="D30" s="14">
        <v>96.18</v>
      </c>
      <c r="E30" s="14" t="s">
        <v>193</v>
      </c>
      <c r="F30" s="14">
        <v>82</v>
      </c>
      <c r="G30" s="14"/>
      <c r="H30" s="14">
        <v>2</v>
      </c>
      <c r="I30" s="14">
        <f t="shared" si="0"/>
        <v>81.254</v>
      </c>
      <c r="J30" s="14"/>
      <c r="K30" s="14"/>
      <c r="L30" s="14"/>
      <c r="M30" s="14"/>
      <c r="N30" s="14"/>
      <c r="O30" s="14"/>
    </row>
    <row r="31" s="8" customFormat="1" ht="20" customHeight="1" spans="1:15">
      <c r="A31" s="14">
        <v>27</v>
      </c>
      <c r="B31" s="14" t="s">
        <v>194</v>
      </c>
      <c r="C31" s="14" t="s">
        <v>195</v>
      </c>
      <c r="D31" s="14">
        <v>97.2</v>
      </c>
      <c r="E31" s="14" t="s">
        <v>196</v>
      </c>
      <c r="F31" s="14">
        <v>86.25</v>
      </c>
      <c r="G31" s="14"/>
      <c r="H31" s="14">
        <v>4</v>
      </c>
      <c r="I31" s="14">
        <f t="shared" si="0"/>
        <v>79.547</v>
      </c>
      <c r="J31" s="14"/>
      <c r="K31" s="14"/>
      <c r="L31" s="14"/>
      <c r="M31" s="14"/>
      <c r="N31" s="14"/>
      <c r="O31" s="14"/>
    </row>
    <row r="32" s="8" customFormat="1" ht="20" customHeight="1" spans="1:15">
      <c r="A32" s="14">
        <v>28</v>
      </c>
      <c r="B32" s="14" t="s">
        <v>197</v>
      </c>
      <c r="C32" s="14" t="s">
        <v>198</v>
      </c>
      <c r="D32" s="14">
        <v>97.03</v>
      </c>
      <c r="E32" s="14" t="s">
        <v>199</v>
      </c>
      <c r="F32" s="14">
        <v>77.25</v>
      </c>
      <c r="G32" s="14"/>
      <c r="H32" s="14">
        <v>2</v>
      </c>
      <c r="I32" s="14">
        <f t="shared" si="0"/>
        <v>79.234</v>
      </c>
      <c r="J32" s="14"/>
      <c r="K32" s="14"/>
      <c r="L32" s="14"/>
      <c r="M32" s="14"/>
      <c r="N32" s="14"/>
      <c r="O32" s="14"/>
    </row>
    <row r="33" s="8" customFormat="1" ht="20" customHeight="1" spans="1:15">
      <c r="A33" s="14">
        <v>29</v>
      </c>
      <c r="B33" s="14" t="s">
        <v>200</v>
      </c>
      <c r="C33" s="14" t="s">
        <v>201</v>
      </c>
      <c r="D33" s="14">
        <v>98.06</v>
      </c>
      <c r="E33" s="14" t="s">
        <v>185</v>
      </c>
      <c r="F33" s="14">
        <v>84.25</v>
      </c>
      <c r="G33" s="14"/>
      <c r="H33" s="14">
        <v>6</v>
      </c>
      <c r="I33" s="14">
        <f t="shared" si="0"/>
        <v>78.151</v>
      </c>
      <c r="J33" s="14"/>
      <c r="K33" s="14"/>
      <c r="L33" s="14"/>
      <c r="M33" s="14"/>
      <c r="N33" s="14"/>
      <c r="O33" s="14"/>
    </row>
    <row r="34" s="8" customFormat="1" ht="20" customHeight="1" spans="1:15">
      <c r="A34" s="14">
        <v>30</v>
      </c>
      <c r="B34" s="14" t="s">
        <v>202</v>
      </c>
      <c r="C34" s="14" t="s">
        <v>203</v>
      </c>
      <c r="D34" s="14">
        <v>96.94</v>
      </c>
      <c r="E34" s="14" t="s">
        <v>204</v>
      </c>
      <c r="F34" s="14">
        <v>89.5</v>
      </c>
      <c r="G34" s="14"/>
      <c r="H34" s="14">
        <v>8</v>
      </c>
      <c r="I34" s="14">
        <f t="shared" si="0"/>
        <v>77.216</v>
      </c>
      <c r="J34" s="14"/>
      <c r="K34" s="14"/>
      <c r="L34" s="14"/>
      <c r="M34" s="14"/>
      <c r="N34" s="14"/>
      <c r="O34" s="14"/>
    </row>
    <row r="35" s="8" customFormat="1" ht="20" customHeight="1" spans="1:15">
      <c r="A35" s="14">
        <v>31</v>
      </c>
      <c r="B35" s="14" t="s">
        <v>205</v>
      </c>
      <c r="C35" s="14" t="s">
        <v>206</v>
      </c>
      <c r="D35" s="14">
        <v>97.47</v>
      </c>
      <c r="E35" s="14" t="s">
        <v>73</v>
      </c>
      <c r="F35" s="14">
        <v>76.75</v>
      </c>
      <c r="G35" s="14"/>
      <c r="H35" s="14">
        <v>6</v>
      </c>
      <c r="I35" s="14">
        <f t="shared" si="0"/>
        <v>76.9</v>
      </c>
      <c r="J35" s="14"/>
      <c r="K35" s="14"/>
      <c r="L35" s="14"/>
      <c r="M35" s="14"/>
      <c r="N35" s="14"/>
      <c r="O35" s="14"/>
    </row>
    <row r="36" s="8" customFormat="1" ht="20" customHeight="1" spans="1:15">
      <c r="A36" s="14">
        <v>32</v>
      </c>
      <c r="B36" s="14" t="s">
        <v>207</v>
      </c>
      <c r="C36" s="14" t="s">
        <v>208</v>
      </c>
      <c r="D36" s="14">
        <v>95.5</v>
      </c>
      <c r="E36" s="14" t="s">
        <v>209</v>
      </c>
      <c r="F36" s="14">
        <v>81.75</v>
      </c>
      <c r="G36" s="14"/>
      <c r="H36" s="14">
        <v>12</v>
      </c>
      <c r="I36" s="14">
        <f t="shared" si="0"/>
        <v>71.211</v>
      </c>
      <c r="J36" s="14"/>
      <c r="K36" s="14"/>
      <c r="L36" s="14"/>
      <c r="M36" s="14"/>
      <c r="N36" s="14"/>
      <c r="O36" s="14"/>
    </row>
    <row r="37" s="8" customFormat="1" ht="20" customHeight="1" spans="1:15">
      <c r="A37" s="14">
        <v>33</v>
      </c>
      <c r="B37" s="14" t="s">
        <v>210</v>
      </c>
      <c r="C37" s="14" t="s">
        <v>211</v>
      </c>
      <c r="D37" s="14">
        <v>97.03</v>
      </c>
      <c r="E37" s="14" t="s">
        <v>85</v>
      </c>
      <c r="F37" s="14">
        <v>90.25</v>
      </c>
      <c r="G37" s="14"/>
      <c r="H37" s="14">
        <v>20</v>
      </c>
      <c r="I37" s="14">
        <f t="shared" si="0"/>
        <v>64.55</v>
      </c>
      <c r="J37" s="14"/>
      <c r="K37" s="14"/>
      <c r="L37" s="14"/>
      <c r="M37" s="14"/>
      <c r="N37" s="14"/>
      <c r="O37" s="14"/>
    </row>
    <row r="38" s="8" customFormat="1" ht="20" customHeight="1" spans="1:15">
      <c r="A38" s="14">
        <v>34</v>
      </c>
      <c r="B38" s="14" t="s">
        <v>212</v>
      </c>
      <c r="C38" s="14" t="s">
        <v>213</v>
      </c>
      <c r="D38" s="14">
        <v>96.31</v>
      </c>
      <c r="E38" s="14" t="s">
        <v>214</v>
      </c>
      <c r="F38" s="14">
        <v>83.75</v>
      </c>
      <c r="G38" s="14"/>
      <c r="H38" s="14">
        <v>20</v>
      </c>
      <c r="I38" s="14">
        <f t="shared" si="0"/>
        <v>61.83</v>
      </c>
      <c r="J38" s="14"/>
      <c r="K38" s="14"/>
      <c r="L38" s="14"/>
      <c r="M38" s="14"/>
      <c r="N38" s="14"/>
      <c r="O38" s="14"/>
    </row>
    <row r="39" s="8" customFormat="1" ht="20" customHeight="1" spans="1:15">
      <c r="A39" s="14">
        <v>35</v>
      </c>
      <c r="B39" s="14" t="s">
        <v>215</v>
      </c>
      <c r="C39" s="14" t="s">
        <v>216</v>
      </c>
      <c r="D39" s="14">
        <v>97.62</v>
      </c>
      <c r="E39" s="14" t="s">
        <v>217</v>
      </c>
      <c r="F39" s="14">
        <v>76</v>
      </c>
      <c r="G39" s="14"/>
      <c r="H39" s="14">
        <v>24</v>
      </c>
      <c r="I39" s="14">
        <f t="shared" si="0"/>
        <v>54.616</v>
      </c>
      <c r="J39" s="14"/>
      <c r="K39" s="14"/>
      <c r="L39" s="14"/>
      <c r="M39" s="14"/>
      <c r="N39" s="14"/>
      <c r="O39" s="14"/>
    </row>
    <row r="40" s="8" customFormat="1" ht="20" customHeight="1" spans="1:15">
      <c r="A40" s="14">
        <v>36</v>
      </c>
      <c r="B40" s="14" t="s">
        <v>218</v>
      </c>
      <c r="C40" s="14" t="s">
        <v>219</v>
      </c>
      <c r="D40" s="14">
        <v>95.44</v>
      </c>
      <c r="E40" s="14" t="s">
        <v>220</v>
      </c>
      <c r="F40" s="14">
        <v>79.5</v>
      </c>
      <c r="G40" s="14"/>
      <c r="H40" s="14">
        <v>26</v>
      </c>
      <c r="I40" s="14">
        <f t="shared" si="0"/>
        <v>50.074</v>
      </c>
      <c r="J40" s="14"/>
      <c r="K40" s="14"/>
      <c r="L40" s="14"/>
      <c r="M40" s="14"/>
      <c r="N40" s="14"/>
      <c r="O40" s="14"/>
    </row>
    <row r="41" s="8" customFormat="1" ht="20" customHeight="1" spans="1:15">
      <c r="A41" s="14">
        <v>37</v>
      </c>
      <c r="B41" s="14" t="s">
        <v>221</v>
      </c>
      <c r="C41" s="14" t="s">
        <v>222</v>
      </c>
      <c r="D41" s="14">
        <v>96.06</v>
      </c>
      <c r="E41" s="14" t="s">
        <v>223</v>
      </c>
      <c r="F41" s="14">
        <v>74</v>
      </c>
      <c r="G41" s="14"/>
      <c r="H41" s="14">
        <v>48</v>
      </c>
      <c r="I41" s="14">
        <f t="shared" si="0"/>
        <v>28.688</v>
      </c>
      <c r="J41" s="14"/>
      <c r="K41" s="14"/>
      <c r="L41" s="14"/>
      <c r="M41" s="14"/>
      <c r="N41" s="14"/>
      <c r="O41" s="14"/>
    </row>
    <row r="42" spans="1:15">
      <c r="A42" s="19" t="s">
        <v>119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</row>
  </sheetData>
  <mergeCells count="4">
    <mergeCell ref="A1:O1"/>
    <mergeCell ref="A2:O2"/>
    <mergeCell ref="A3:O3"/>
    <mergeCell ref="A42:O42"/>
  </mergeCells>
  <pageMargins left="0.75" right="0.75" top="1" bottom="1" header="0.5" footer="0.5"/>
  <pageSetup paperSize="9" scale="78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"/>
  <sheetViews>
    <sheetView workbookViewId="0">
      <selection activeCell="E18" sqref="E18"/>
    </sheetView>
  </sheetViews>
  <sheetFormatPr defaultColWidth="9" defaultRowHeight="16.8"/>
  <cols>
    <col min="2" max="2" width="18.2692307692308" customWidth="1"/>
    <col min="3" max="3" width="13.7788461538462" customWidth="1"/>
    <col min="4" max="4" width="12.9807692307692" customWidth="1"/>
    <col min="5" max="5" width="13.2980769230769" customWidth="1"/>
    <col min="6" max="6" width="11.5384615384615" customWidth="1"/>
    <col min="7" max="7" width="13.625" customWidth="1"/>
    <col min="8" max="8" width="11.2115384615385" customWidth="1"/>
    <col min="9" max="9" width="18.2596153846154" customWidth="1"/>
  </cols>
  <sheetData>
    <row r="1" spans="1:1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ht="34" customHeight="1" spans="1:1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ht="27" customHeight="1" spans="1:15">
      <c r="A3" s="51" t="s">
        <v>224</v>
      </c>
      <c r="B3" s="52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</row>
    <row r="4" ht="73" customHeight="1" spans="1:15">
      <c r="A4" s="12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</row>
    <row r="5" s="8" customFormat="1" ht="20" customHeight="1" spans="1:15">
      <c r="A5" s="13">
        <v>1</v>
      </c>
      <c r="B5" s="13" t="s">
        <v>225</v>
      </c>
      <c r="C5" s="13" t="s">
        <v>226</v>
      </c>
      <c r="D5" s="13">
        <v>96.68</v>
      </c>
      <c r="E5" s="13" t="s">
        <v>227</v>
      </c>
      <c r="F5" s="13">
        <v>84.75</v>
      </c>
      <c r="G5" s="13">
        <v>63.5</v>
      </c>
      <c r="H5" s="13"/>
      <c r="I5" s="13">
        <f t="shared" ref="I5:I16" si="0">D5*0.3+E5*0.6+F5*0.1+G5-H5</f>
        <v>156.233</v>
      </c>
      <c r="J5" s="13"/>
      <c r="K5" s="13" t="s">
        <v>21</v>
      </c>
      <c r="L5" s="13"/>
      <c r="M5" s="13"/>
      <c r="N5" s="13"/>
      <c r="O5" s="13" t="s">
        <v>21</v>
      </c>
    </row>
    <row r="6" s="8" customFormat="1" ht="20" customHeight="1" spans="1:15">
      <c r="A6" s="13">
        <v>2</v>
      </c>
      <c r="B6" s="13" t="s">
        <v>228</v>
      </c>
      <c r="C6" s="13" t="s">
        <v>229</v>
      </c>
      <c r="D6" s="13">
        <v>96.59</v>
      </c>
      <c r="E6" s="13" t="s">
        <v>230</v>
      </c>
      <c r="F6" s="13">
        <v>85.75</v>
      </c>
      <c r="G6" s="13">
        <v>14</v>
      </c>
      <c r="H6" s="13"/>
      <c r="I6" s="13">
        <f t="shared" si="0"/>
        <v>101.46</v>
      </c>
      <c r="J6" s="13"/>
      <c r="K6" s="13"/>
      <c r="L6" s="13"/>
      <c r="M6" s="13"/>
      <c r="N6" s="13" t="s">
        <v>21</v>
      </c>
      <c r="O6" s="13"/>
    </row>
    <row r="7" s="8" customFormat="1" ht="20" customHeight="1" spans="1:15">
      <c r="A7" s="13">
        <v>3</v>
      </c>
      <c r="B7" s="13" t="s">
        <v>231</v>
      </c>
      <c r="C7" s="13" t="s">
        <v>232</v>
      </c>
      <c r="D7" s="13">
        <v>94.79</v>
      </c>
      <c r="E7" s="13" t="s">
        <v>157</v>
      </c>
      <c r="F7" s="13">
        <v>78.25</v>
      </c>
      <c r="G7" s="13">
        <v>15</v>
      </c>
      <c r="H7" s="13"/>
      <c r="I7" s="13">
        <f t="shared" si="0"/>
        <v>99.592</v>
      </c>
      <c r="J7" s="13"/>
      <c r="K7" s="13"/>
      <c r="L7" s="13"/>
      <c r="M7" s="13"/>
      <c r="N7" s="13"/>
      <c r="O7" s="13"/>
    </row>
    <row r="8" s="8" customFormat="1" ht="20" customHeight="1" spans="1:15">
      <c r="A8" s="13">
        <v>4</v>
      </c>
      <c r="B8" s="13" t="s">
        <v>233</v>
      </c>
      <c r="C8" s="13" t="s">
        <v>234</v>
      </c>
      <c r="D8" s="13">
        <v>96.6</v>
      </c>
      <c r="E8" s="13" t="s">
        <v>235</v>
      </c>
      <c r="F8" s="13">
        <v>88</v>
      </c>
      <c r="G8" s="13">
        <v>8</v>
      </c>
      <c r="H8" s="13"/>
      <c r="I8" s="13">
        <f t="shared" si="0"/>
        <v>97.05</v>
      </c>
      <c r="J8" s="13"/>
      <c r="K8" s="13"/>
      <c r="L8" s="13"/>
      <c r="M8" s="13"/>
      <c r="N8" s="13" t="s">
        <v>21</v>
      </c>
      <c r="O8" s="13"/>
    </row>
    <row r="9" s="8" customFormat="1" ht="20" customHeight="1" spans="1:15">
      <c r="A9" s="13">
        <v>5</v>
      </c>
      <c r="B9" s="13" t="s">
        <v>236</v>
      </c>
      <c r="C9" s="13" t="s">
        <v>237</v>
      </c>
      <c r="D9" s="13">
        <v>96.46</v>
      </c>
      <c r="E9" s="13" t="s">
        <v>151</v>
      </c>
      <c r="F9" s="13">
        <v>88</v>
      </c>
      <c r="G9" s="13">
        <v>7.5</v>
      </c>
      <c r="H9" s="13"/>
      <c r="I9" s="13">
        <f t="shared" si="0"/>
        <v>94.822</v>
      </c>
      <c r="J9" s="13"/>
      <c r="K9" s="13"/>
      <c r="L9" s="13"/>
      <c r="M9" s="13"/>
      <c r="N9" s="13" t="s">
        <v>21</v>
      </c>
      <c r="O9" s="13"/>
    </row>
    <row r="10" s="8" customFormat="1" ht="20" customHeight="1" spans="1:15">
      <c r="A10" s="13">
        <v>6</v>
      </c>
      <c r="B10" s="13" t="s">
        <v>238</v>
      </c>
      <c r="C10" s="13" t="s">
        <v>239</v>
      </c>
      <c r="D10" s="13">
        <v>96.8</v>
      </c>
      <c r="E10" s="13" t="s">
        <v>41</v>
      </c>
      <c r="F10" s="13">
        <v>84</v>
      </c>
      <c r="G10" s="13"/>
      <c r="H10" s="13"/>
      <c r="I10" s="13">
        <f t="shared" si="0"/>
        <v>90.186</v>
      </c>
      <c r="J10" s="13"/>
      <c r="K10" s="13"/>
      <c r="L10" s="13"/>
      <c r="M10" s="13" t="s">
        <v>21</v>
      </c>
      <c r="N10" s="13" t="s">
        <v>21</v>
      </c>
      <c r="O10" s="13"/>
    </row>
    <row r="11" s="8" customFormat="1" ht="20" customHeight="1" spans="1:15">
      <c r="A11" s="13">
        <v>7</v>
      </c>
      <c r="B11" s="13" t="s">
        <v>240</v>
      </c>
      <c r="C11" s="13" t="s">
        <v>241</v>
      </c>
      <c r="D11" s="13">
        <v>96.59</v>
      </c>
      <c r="E11" s="13" t="s">
        <v>242</v>
      </c>
      <c r="F11" s="13">
        <v>89.75</v>
      </c>
      <c r="G11" s="13">
        <v>1</v>
      </c>
      <c r="H11" s="13"/>
      <c r="I11" s="13">
        <f t="shared" si="0"/>
        <v>89.19</v>
      </c>
      <c r="J11" s="13"/>
      <c r="K11" s="13"/>
      <c r="L11" s="13"/>
      <c r="M11" s="13"/>
      <c r="N11" s="13" t="s">
        <v>21</v>
      </c>
      <c r="O11" s="13"/>
    </row>
    <row r="12" s="8" customFormat="1" ht="20" customHeight="1" spans="1:15">
      <c r="A12" s="13">
        <v>8</v>
      </c>
      <c r="B12" s="13" t="s">
        <v>243</v>
      </c>
      <c r="C12" s="13" t="s">
        <v>244</v>
      </c>
      <c r="D12" s="13">
        <v>96.58</v>
      </c>
      <c r="E12" s="13" t="s">
        <v>157</v>
      </c>
      <c r="F12" s="13">
        <v>81</v>
      </c>
      <c r="G12" s="13">
        <v>3</v>
      </c>
      <c r="H12" s="13"/>
      <c r="I12" s="13">
        <f t="shared" si="0"/>
        <v>88.404</v>
      </c>
      <c r="J12" s="13"/>
      <c r="K12" s="13"/>
      <c r="L12" s="13"/>
      <c r="M12" s="13"/>
      <c r="N12" s="13"/>
      <c r="O12" s="13" t="s">
        <v>21</v>
      </c>
    </row>
    <row r="13" s="8" customFormat="1" ht="20" customHeight="1" spans="1:15">
      <c r="A13" s="13">
        <v>9</v>
      </c>
      <c r="B13" s="13" t="s">
        <v>245</v>
      </c>
      <c r="C13" s="13" t="s">
        <v>246</v>
      </c>
      <c r="D13" s="13">
        <v>96.94</v>
      </c>
      <c r="E13" s="13" t="s">
        <v>247</v>
      </c>
      <c r="F13" s="13">
        <v>84</v>
      </c>
      <c r="G13" s="13">
        <v>2</v>
      </c>
      <c r="H13" s="13"/>
      <c r="I13" s="13">
        <f t="shared" si="0"/>
        <v>87.644</v>
      </c>
      <c r="J13" s="13"/>
      <c r="K13" s="13"/>
      <c r="L13" s="13"/>
      <c r="M13" s="13"/>
      <c r="N13" s="13"/>
      <c r="O13" s="13" t="s">
        <v>21</v>
      </c>
    </row>
    <row r="14" s="8" customFormat="1" ht="20" customHeight="1" spans="1:15">
      <c r="A14" s="13">
        <v>10</v>
      </c>
      <c r="B14" s="13" t="s">
        <v>248</v>
      </c>
      <c r="C14" s="13" t="s">
        <v>249</v>
      </c>
      <c r="D14" s="13">
        <v>97.12</v>
      </c>
      <c r="E14" s="13" t="s">
        <v>250</v>
      </c>
      <c r="F14" s="13">
        <v>79.75</v>
      </c>
      <c r="G14" s="13">
        <v>2</v>
      </c>
      <c r="H14" s="13">
        <v>2</v>
      </c>
      <c r="I14" s="13">
        <f t="shared" si="0"/>
        <v>86.965</v>
      </c>
      <c r="J14" s="13"/>
      <c r="K14" s="13"/>
      <c r="L14" s="13"/>
      <c r="M14" s="13"/>
      <c r="N14" s="13"/>
      <c r="O14" s="13"/>
    </row>
    <row r="15" s="8" customFormat="1" ht="20" customHeight="1" spans="1:15">
      <c r="A15" s="13">
        <v>11</v>
      </c>
      <c r="B15" s="13" t="s">
        <v>251</v>
      </c>
      <c r="C15" s="13" t="s">
        <v>252</v>
      </c>
      <c r="D15" s="13">
        <v>97</v>
      </c>
      <c r="E15" s="13" t="s">
        <v>253</v>
      </c>
      <c r="F15" s="13">
        <v>84.25</v>
      </c>
      <c r="G15" s="13"/>
      <c r="H15" s="13"/>
      <c r="I15" s="13">
        <f t="shared" si="0"/>
        <v>86.887</v>
      </c>
      <c r="J15" s="13"/>
      <c r="K15" s="13"/>
      <c r="L15" s="13"/>
      <c r="M15" s="13"/>
      <c r="N15" s="13" t="s">
        <v>21</v>
      </c>
      <c r="O15" s="13"/>
    </row>
    <row r="16" s="8" customFormat="1" ht="20" customHeight="1" spans="1:15">
      <c r="A16" s="13">
        <v>12</v>
      </c>
      <c r="B16" s="13" t="s">
        <v>254</v>
      </c>
      <c r="C16" s="13" t="s">
        <v>255</v>
      </c>
      <c r="D16" s="13">
        <v>95.38</v>
      </c>
      <c r="E16" s="13" t="s">
        <v>136</v>
      </c>
      <c r="F16" s="13">
        <v>89.25</v>
      </c>
      <c r="G16" s="13">
        <v>2</v>
      </c>
      <c r="H16" s="13"/>
      <c r="I16" s="13">
        <f t="shared" si="0"/>
        <v>86.885</v>
      </c>
      <c r="J16" s="13"/>
      <c r="K16" s="13"/>
      <c r="L16" s="13"/>
      <c r="M16" s="13"/>
      <c r="N16" s="13"/>
      <c r="O16" s="13"/>
    </row>
    <row r="17" s="8" customFormat="1" ht="20" customHeight="1" spans="1:15">
      <c r="A17" s="13">
        <v>13</v>
      </c>
      <c r="B17" s="13">
        <v>20230802222</v>
      </c>
      <c r="C17" s="13" t="s">
        <v>256</v>
      </c>
      <c r="D17" s="13">
        <v>96.65</v>
      </c>
      <c r="E17" s="13">
        <v>82.82</v>
      </c>
      <c r="F17" s="13">
        <v>80</v>
      </c>
      <c r="G17" s="13"/>
      <c r="H17" s="13"/>
      <c r="I17" s="13">
        <v>86.687</v>
      </c>
      <c r="J17" s="13"/>
      <c r="K17" s="13"/>
      <c r="L17" s="13"/>
      <c r="M17" s="13"/>
      <c r="N17" s="13"/>
      <c r="O17" s="13"/>
    </row>
    <row r="18" s="8" customFormat="1" ht="20" customHeight="1" spans="1:15">
      <c r="A18" s="13">
        <v>14</v>
      </c>
      <c r="B18" s="13">
        <v>20230802201</v>
      </c>
      <c r="C18" s="13" t="s">
        <v>257</v>
      </c>
      <c r="D18" s="13">
        <v>97.14</v>
      </c>
      <c r="E18" s="13">
        <v>80.91</v>
      </c>
      <c r="F18" s="13">
        <v>85.25</v>
      </c>
      <c r="G18" s="13"/>
      <c r="H18" s="13"/>
      <c r="I18" s="13">
        <v>86.213</v>
      </c>
      <c r="J18" s="13"/>
      <c r="K18" s="13"/>
      <c r="L18" s="13"/>
      <c r="M18" s="13"/>
      <c r="N18" s="13"/>
      <c r="O18" s="13"/>
    </row>
    <row r="19" s="8" customFormat="1" ht="20" customHeight="1" spans="1:15">
      <c r="A19" s="13">
        <v>15</v>
      </c>
      <c r="B19" s="13" t="s">
        <v>258</v>
      </c>
      <c r="C19" s="13" t="s">
        <v>259</v>
      </c>
      <c r="D19" s="13">
        <v>96.79</v>
      </c>
      <c r="E19" s="13" t="s">
        <v>79</v>
      </c>
      <c r="F19" s="13">
        <v>79</v>
      </c>
      <c r="G19" s="13">
        <v>2</v>
      </c>
      <c r="H19" s="13">
        <v>2</v>
      </c>
      <c r="I19" s="13">
        <f t="shared" ref="I19:I42" si="1">D19*0.3+E19*0.6+F19*0.1+G19-H19</f>
        <v>84.883</v>
      </c>
      <c r="J19" s="13"/>
      <c r="K19" s="13"/>
      <c r="L19" s="13"/>
      <c r="M19" s="13"/>
      <c r="N19" s="13"/>
      <c r="O19" s="13"/>
    </row>
    <row r="20" s="8" customFormat="1" ht="20" customHeight="1" spans="1:15">
      <c r="A20" s="14">
        <v>16</v>
      </c>
      <c r="B20" s="14" t="s">
        <v>260</v>
      </c>
      <c r="C20" s="14" t="s">
        <v>261</v>
      </c>
      <c r="D20" s="14">
        <v>95.63</v>
      </c>
      <c r="E20" s="14" t="s">
        <v>30</v>
      </c>
      <c r="F20" s="14">
        <v>84</v>
      </c>
      <c r="G20" s="14"/>
      <c r="H20" s="14"/>
      <c r="I20" s="14">
        <f t="shared" si="1"/>
        <v>84.705</v>
      </c>
      <c r="J20" s="14"/>
      <c r="K20" s="14"/>
      <c r="L20" s="14"/>
      <c r="M20" s="14"/>
      <c r="N20" s="14"/>
      <c r="O20" s="14"/>
    </row>
    <row r="21" s="8" customFormat="1" ht="20" customHeight="1" spans="1:15">
      <c r="A21" s="14">
        <v>17</v>
      </c>
      <c r="B21" s="14" t="s">
        <v>262</v>
      </c>
      <c r="C21" s="14" t="s">
        <v>263</v>
      </c>
      <c r="D21" s="14">
        <v>96.86</v>
      </c>
      <c r="E21" s="14" t="s">
        <v>136</v>
      </c>
      <c r="F21" s="14">
        <v>74.25</v>
      </c>
      <c r="G21" s="14"/>
      <c r="H21" s="14"/>
      <c r="I21" s="14">
        <f t="shared" si="1"/>
        <v>83.829</v>
      </c>
      <c r="J21" s="14"/>
      <c r="K21" s="14"/>
      <c r="L21" s="14"/>
      <c r="M21" s="14"/>
      <c r="N21" s="14"/>
      <c r="O21" s="14"/>
    </row>
    <row r="22" s="8" customFormat="1" ht="20" customHeight="1" spans="1:15">
      <c r="A22" s="14">
        <v>18</v>
      </c>
      <c r="B22" s="14" t="s">
        <v>264</v>
      </c>
      <c r="C22" s="14" t="s">
        <v>265</v>
      </c>
      <c r="D22" s="14">
        <v>96.32</v>
      </c>
      <c r="E22" s="14" t="s">
        <v>266</v>
      </c>
      <c r="F22" s="14">
        <v>81.75</v>
      </c>
      <c r="G22" s="14">
        <v>1</v>
      </c>
      <c r="H22" s="14">
        <v>2</v>
      </c>
      <c r="I22" s="14">
        <f t="shared" si="1"/>
        <v>83.363</v>
      </c>
      <c r="J22" s="14"/>
      <c r="K22" s="14"/>
      <c r="L22" s="14"/>
      <c r="M22" s="14"/>
      <c r="N22" s="14"/>
      <c r="O22" s="14"/>
    </row>
    <row r="23" s="8" customFormat="1" ht="20" customHeight="1" spans="1:15">
      <c r="A23" s="14">
        <v>19</v>
      </c>
      <c r="B23" s="14" t="s">
        <v>267</v>
      </c>
      <c r="C23" s="14" t="s">
        <v>268</v>
      </c>
      <c r="D23" s="14">
        <v>94.54</v>
      </c>
      <c r="E23" s="14" t="s">
        <v>30</v>
      </c>
      <c r="F23" s="14">
        <v>83.5</v>
      </c>
      <c r="G23" s="14">
        <v>1</v>
      </c>
      <c r="H23" s="14">
        <v>2</v>
      </c>
      <c r="I23" s="14">
        <f t="shared" si="1"/>
        <v>83.328</v>
      </c>
      <c r="J23" s="14"/>
      <c r="K23" s="14"/>
      <c r="L23" s="14"/>
      <c r="M23" s="14"/>
      <c r="N23" s="14"/>
      <c r="O23" s="14"/>
    </row>
    <row r="24" s="8" customFormat="1" ht="20" customHeight="1" spans="1:15">
      <c r="A24" s="14">
        <v>20</v>
      </c>
      <c r="B24" s="14" t="s">
        <v>269</v>
      </c>
      <c r="C24" s="14" t="s">
        <v>270</v>
      </c>
      <c r="D24" s="14">
        <v>96.73</v>
      </c>
      <c r="E24" s="14" t="s">
        <v>271</v>
      </c>
      <c r="F24" s="14">
        <v>84.25</v>
      </c>
      <c r="G24" s="14"/>
      <c r="H24" s="14">
        <v>2</v>
      </c>
      <c r="I24" s="14">
        <f t="shared" si="1"/>
        <v>80.552</v>
      </c>
      <c r="J24" s="14"/>
      <c r="K24" s="14"/>
      <c r="L24" s="14"/>
      <c r="M24" s="14"/>
      <c r="N24" s="14"/>
      <c r="O24" s="14"/>
    </row>
    <row r="25" s="8" customFormat="1" ht="20" customHeight="1" spans="1:15">
      <c r="A25" s="14">
        <v>21</v>
      </c>
      <c r="B25" s="14" t="s">
        <v>272</v>
      </c>
      <c r="C25" s="14" t="s">
        <v>273</v>
      </c>
      <c r="D25" s="14">
        <v>94.76</v>
      </c>
      <c r="E25" s="14" t="s">
        <v>274</v>
      </c>
      <c r="F25" s="14">
        <v>77.25</v>
      </c>
      <c r="G25" s="14"/>
      <c r="H25" s="14">
        <v>2</v>
      </c>
      <c r="I25" s="14">
        <f t="shared" si="1"/>
        <v>79.483</v>
      </c>
      <c r="J25" s="14"/>
      <c r="K25" s="14"/>
      <c r="L25" s="14"/>
      <c r="M25" s="14"/>
      <c r="N25" s="14"/>
      <c r="O25" s="14"/>
    </row>
    <row r="26" s="8" customFormat="1" ht="20" customHeight="1" spans="1:15">
      <c r="A26" s="14">
        <v>22</v>
      </c>
      <c r="B26" s="14" t="s">
        <v>275</v>
      </c>
      <c r="C26" s="14" t="s">
        <v>276</v>
      </c>
      <c r="D26" s="14">
        <v>95.71</v>
      </c>
      <c r="E26" s="14" t="s">
        <v>277</v>
      </c>
      <c r="F26" s="14">
        <v>83.25</v>
      </c>
      <c r="G26" s="14"/>
      <c r="H26" s="14">
        <v>6</v>
      </c>
      <c r="I26" s="14">
        <f t="shared" si="1"/>
        <v>78.876</v>
      </c>
      <c r="J26" s="14"/>
      <c r="K26" s="14"/>
      <c r="L26" s="14"/>
      <c r="M26" s="14"/>
      <c r="N26" s="14"/>
      <c r="O26" s="14"/>
    </row>
    <row r="27" s="8" customFormat="1" ht="20" customHeight="1" spans="1:15">
      <c r="A27" s="14">
        <v>23</v>
      </c>
      <c r="B27" s="14" t="s">
        <v>278</v>
      </c>
      <c r="C27" s="14" t="s">
        <v>279</v>
      </c>
      <c r="D27" s="14">
        <v>96.69</v>
      </c>
      <c r="E27" s="14" t="s">
        <v>280</v>
      </c>
      <c r="F27" s="14">
        <v>77.25</v>
      </c>
      <c r="G27" s="14"/>
      <c r="H27" s="14">
        <v>4</v>
      </c>
      <c r="I27" s="14">
        <f t="shared" si="1"/>
        <v>77.24</v>
      </c>
      <c r="J27" s="14"/>
      <c r="K27" s="14"/>
      <c r="L27" s="14"/>
      <c r="M27" s="14"/>
      <c r="N27" s="14"/>
      <c r="O27" s="14"/>
    </row>
    <row r="28" s="8" customFormat="1" ht="20" customHeight="1" spans="1:15">
      <c r="A28" s="14">
        <v>25</v>
      </c>
      <c r="B28" s="14" t="s">
        <v>281</v>
      </c>
      <c r="C28" s="14" t="s">
        <v>282</v>
      </c>
      <c r="D28" s="14">
        <v>95.01</v>
      </c>
      <c r="E28" s="14" t="s">
        <v>283</v>
      </c>
      <c r="F28" s="14">
        <v>88.75</v>
      </c>
      <c r="G28" s="14">
        <v>1</v>
      </c>
      <c r="H28" s="14">
        <v>6</v>
      </c>
      <c r="I28" s="14">
        <f t="shared" si="1"/>
        <v>77.108</v>
      </c>
      <c r="J28" s="14"/>
      <c r="K28" s="14"/>
      <c r="L28" s="14"/>
      <c r="M28" s="14"/>
      <c r="N28" s="14"/>
      <c r="O28" s="14"/>
    </row>
    <row r="29" s="8" customFormat="1" ht="20" customHeight="1" spans="1:15">
      <c r="A29" s="14">
        <v>24</v>
      </c>
      <c r="B29" s="14" t="s">
        <v>284</v>
      </c>
      <c r="C29" s="14" t="s">
        <v>285</v>
      </c>
      <c r="D29" s="14">
        <v>94.36</v>
      </c>
      <c r="E29" s="14" t="s">
        <v>196</v>
      </c>
      <c r="F29" s="14">
        <v>84</v>
      </c>
      <c r="G29" s="14"/>
      <c r="H29" s="14">
        <v>6</v>
      </c>
      <c r="I29" s="14">
        <f t="shared" si="1"/>
        <v>76.47</v>
      </c>
      <c r="J29" s="14"/>
      <c r="K29" s="14"/>
      <c r="L29" s="14"/>
      <c r="M29" s="14"/>
      <c r="N29" s="14"/>
      <c r="O29" s="14"/>
    </row>
    <row r="30" s="8" customFormat="1" ht="20" customHeight="1" spans="1:15">
      <c r="A30" s="14">
        <v>26</v>
      </c>
      <c r="B30" s="14" t="s">
        <v>286</v>
      </c>
      <c r="C30" s="14" t="s">
        <v>287</v>
      </c>
      <c r="D30" s="14">
        <v>95.53</v>
      </c>
      <c r="E30" s="14" t="s">
        <v>288</v>
      </c>
      <c r="F30" s="14">
        <v>79.5</v>
      </c>
      <c r="G30" s="14">
        <v>2</v>
      </c>
      <c r="H30" s="14">
        <v>10</v>
      </c>
      <c r="I30" s="14">
        <f t="shared" si="1"/>
        <v>76.063</v>
      </c>
      <c r="J30" s="14"/>
      <c r="K30" s="14"/>
      <c r="L30" s="14"/>
      <c r="M30" s="14"/>
      <c r="N30" s="14"/>
      <c r="O30" s="14"/>
    </row>
    <row r="31" s="8" customFormat="1" ht="20" customHeight="1" spans="1:15">
      <c r="A31" s="14">
        <v>27</v>
      </c>
      <c r="B31" s="14" t="s">
        <v>289</v>
      </c>
      <c r="C31" s="14" t="s">
        <v>290</v>
      </c>
      <c r="D31" s="14">
        <v>95.68</v>
      </c>
      <c r="E31" s="14" t="s">
        <v>291</v>
      </c>
      <c r="F31" s="14">
        <v>81.75</v>
      </c>
      <c r="G31" s="14"/>
      <c r="H31" s="14">
        <v>8</v>
      </c>
      <c r="I31" s="14">
        <f t="shared" si="1"/>
        <v>74.809</v>
      </c>
      <c r="J31" s="14"/>
      <c r="K31" s="14"/>
      <c r="L31" s="14"/>
      <c r="M31" s="14"/>
      <c r="N31" s="14"/>
      <c r="O31" s="14"/>
    </row>
    <row r="32" s="8" customFormat="1" ht="20" customHeight="1" spans="1:15">
      <c r="A32" s="14">
        <v>28</v>
      </c>
      <c r="B32" s="14" t="s">
        <v>292</v>
      </c>
      <c r="C32" s="14" t="s">
        <v>293</v>
      </c>
      <c r="D32" s="14">
        <v>94.11</v>
      </c>
      <c r="E32" s="14" t="s">
        <v>247</v>
      </c>
      <c r="F32" s="14">
        <v>83.75</v>
      </c>
      <c r="G32" s="14"/>
      <c r="H32" s="14">
        <v>10</v>
      </c>
      <c r="I32" s="14">
        <f t="shared" si="1"/>
        <v>74.77</v>
      </c>
      <c r="J32" s="14"/>
      <c r="K32" s="14"/>
      <c r="L32" s="14"/>
      <c r="M32" s="14"/>
      <c r="N32" s="14"/>
      <c r="O32" s="14"/>
    </row>
    <row r="33" s="8" customFormat="1" ht="20" customHeight="1" spans="1:15">
      <c r="A33" s="14">
        <v>29</v>
      </c>
      <c r="B33" s="14" t="s">
        <v>294</v>
      </c>
      <c r="C33" s="14" t="s">
        <v>295</v>
      </c>
      <c r="D33" s="14">
        <v>95.65</v>
      </c>
      <c r="E33" s="14" t="s">
        <v>185</v>
      </c>
      <c r="F33" s="14">
        <v>79</v>
      </c>
      <c r="G33" s="14">
        <v>1</v>
      </c>
      <c r="H33" s="14">
        <v>10</v>
      </c>
      <c r="I33" s="14">
        <f t="shared" si="1"/>
        <v>73.903</v>
      </c>
      <c r="J33" s="14"/>
      <c r="K33" s="14"/>
      <c r="L33" s="14"/>
      <c r="M33" s="14"/>
      <c r="N33" s="14"/>
      <c r="O33" s="14"/>
    </row>
    <row r="34" s="8" customFormat="1" ht="20" customHeight="1" spans="1:15">
      <c r="A34" s="14">
        <v>30</v>
      </c>
      <c r="B34" s="14" t="s">
        <v>296</v>
      </c>
      <c r="C34" s="14" t="s">
        <v>297</v>
      </c>
      <c r="D34" s="14">
        <v>94.39</v>
      </c>
      <c r="E34" s="14" t="s">
        <v>112</v>
      </c>
      <c r="F34" s="14">
        <v>80</v>
      </c>
      <c r="G34" s="14"/>
      <c r="H34" s="14">
        <v>10</v>
      </c>
      <c r="I34" s="14">
        <f t="shared" si="1"/>
        <v>70.609</v>
      </c>
      <c r="J34" s="14"/>
      <c r="K34" s="14"/>
      <c r="L34" s="14"/>
      <c r="M34" s="14"/>
      <c r="N34" s="14"/>
      <c r="O34" s="14"/>
    </row>
    <row r="35" s="8" customFormat="1" ht="20" customHeight="1" spans="1:15">
      <c r="A35" s="14">
        <v>31</v>
      </c>
      <c r="B35" s="14" t="s">
        <v>298</v>
      </c>
      <c r="C35" s="14" t="s">
        <v>299</v>
      </c>
      <c r="D35" s="14">
        <v>94.86</v>
      </c>
      <c r="E35" s="14" t="s">
        <v>300</v>
      </c>
      <c r="F35" s="14">
        <v>78.75</v>
      </c>
      <c r="G35" s="14"/>
      <c r="H35" s="14">
        <v>14</v>
      </c>
      <c r="I35" s="14">
        <f t="shared" si="1"/>
        <v>70.225</v>
      </c>
      <c r="J35" s="14"/>
      <c r="K35" s="14"/>
      <c r="L35" s="14"/>
      <c r="M35" s="14"/>
      <c r="N35" s="14"/>
      <c r="O35" s="14"/>
    </row>
    <row r="36" s="8" customFormat="1" ht="20" customHeight="1" spans="1:15">
      <c r="A36" s="14">
        <v>32</v>
      </c>
      <c r="B36" s="14" t="s">
        <v>301</v>
      </c>
      <c r="C36" s="14" t="s">
        <v>302</v>
      </c>
      <c r="D36" s="14">
        <v>94.63</v>
      </c>
      <c r="E36" s="14" t="s">
        <v>303</v>
      </c>
      <c r="F36" s="14">
        <v>81.25</v>
      </c>
      <c r="G36" s="14"/>
      <c r="H36" s="14">
        <v>14</v>
      </c>
      <c r="I36" s="14">
        <f t="shared" si="1"/>
        <v>68.876</v>
      </c>
      <c r="J36" s="14"/>
      <c r="K36" s="14"/>
      <c r="L36" s="14"/>
      <c r="M36" s="14"/>
      <c r="N36" s="14"/>
      <c r="O36" s="14"/>
    </row>
    <row r="37" s="8" customFormat="1" ht="20" customHeight="1" spans="1:15">
      <c r="A37" s="14">
        <v>33</v>
      </c>
      <c r="B37" s="14" t="s">
        <v>304</v>
      </c>
      <c r="C37" s="14" t="s">
        <v>305</v>
      </c>
      <c r="D37" s="14">
        <v>92.71</v>
      </c>
      <c r="E37" s="14" t="s">
        <v>199</v>
      </c>
      <c r="F37" s="14">
        <v>91.75</v>
      </c>
      <c r="G37" s="14">
        <v>1</v>
      </c>
      <c r="H37" s="14">
        <v>18</v>
      </c>
      <c r="I37" s="14">
        <f t="shared" si="1"/>
        <v>64.388</v>
      </c>
      <c r="J37" s="14"/>
      <c r="K37" s="14"/>
      <c r="L37" s="14"/>
      <c r="M37" s="14"/>
      <c r="N37" s="14"/>
      <c r="O37" s="14"/>
    </row>
    <row r="38" s="8" customFormat="1" ht="20" customHeight="1" spans="1:15">
      <c r="A38" s="14">
        <v>34</v>
      </c>
      <c r="B38" s="14" t="s">
        <v>306</v>
      </c>
      <c r="C38" s="14" t="s">
        <v>307</v>
      </c>
      <c r="D38" s="14">
        <v>95.36</v>
      </c>
      <c r="E38" s="14" t="s">
        <v>308</v>
      </c>
      <c r="F38" s="14">
        <v>78</v>
      </c>
      <c r="G38" s="14"/>
      <c r="H38" s="14">
        <v>20</v>
      </c>
      <c r="I38" s="14">
        <f t="shared" si="1"/>
        <v>60.1</v>
      </c>
      <c r="J38" s="14"/>
      <c r="K38" s="14"/>
      <c r="L38" s="14"/>
      <c r="M38" s="14"/>
      <c r="N38" s="14"/>
      <c r="O38" s="14"/>
    </row>
    <row r="39" s="8" customFormat="1" ht="20" customHeight="1" spans="1:15">
      <c r="A39" s="14">
        <v>35</v>
      </c>
      <c r="B39" s="14" t="s">
        <v>309</v>
      </c>
      <c r="C39" s="14" t="s">
        <v>310</v>
      </c>
      <c r="D39" s="14">
        <v>94.18</v>
      </c>
      <c r="E39" s="14" t="s">
        <v>311</v>
      </c>
      <c r="F39" s="14">
        <v>81.25</v>
      </c>
      <c r="G39" s="14"/>
      <c r="H39" s="14">
        <v>20</v>
      </c>
      <c r="I39" s="14">
        <f t="shared" si="1"/>
        <v>59.195</v>
      </c>
      <c r="J39" s="14"/>
      <c r="K39" s="14"/>
      <c r="L39" s="14"/>
      <c r="M39" s="14"/>
      <c r="N39" s="14"/>
      <c r="O39" s="14"/>
    </row>
    <row r="40" s="8" customFormat="1" ht="20" customHeight="1" spans="1:15">
      <c r="A40" s="14">
        <v>36</v>
      </c>
      <c r="B40" s="14" t="s">
        <v>312</v>
      </c>
      <c r="C40" s="14" t="s">
        <v>313</v>
      </c>
      <c r="D40" s="14">
        <v>0</v>
      </c>
      <c r="E40" s="14" t="s">
        <v>314</v>
      </c>
      <c r="F40" s="14">
        <v>80.25</v>
      </c>
      <c r="G40" s="14"/>
      <c r="H40" s="14">
        <v>4</v>
      </c>
      <c r="I40" s="14">
        <f t="shared" si="1"/>
        <v>49.625</v>
      </c>
      <c r="J40" s="14"/>
      <c r="K40" s="14"/>
      <c r="L40" s="14"/>
      <c r="M40" s="14"/>
      <c r="N40" s="14"/>
      <c r="O40" s="14"/>
    </row>
    <row r="41" s="8" customFormat="1" ht="20" customHeight="1" spans="1:15">
      <c r="A41" s="14">
        <v>37</v>
      </c>
      <c r="B41" s="14" t="s">
        <v>315</v>
      </c>
      <c r="C41" s="14" t="s">
        <v>316</v>
      </c>
      <c r="D41" s="14">
        <v>94.46</v>
      </c>
      <c r="E41" s="14" t="s">
        <v>196</v>
      </c>
      <c r="F41" s="14">
        <v>86.25</v>
      </c>
      <c r="G41" s="14"/>
      <c r="H41" s="14">
        <v>38</v>
      </c>
      <c r="I41" s="14">
        <f t="shared" si="1"/>
        <v>44.725</v>
      </c>
      <c r="J41" s="14"/>
      <c r="K41" s="14"/>
      <c r="L41" s="14"/>
      <c r="M41" s="14"/>
      <c r="N41" s="14"/>
      <c r="O41" s="14"/>
    </row>
    <row r="42" s="8" customFormat="1" ht="20" customHeight="1" spans="1:15">
      <c r="A42" s="14">
        <v>38</v>
      </c>
      <c r="B42" s="14" t="s">
        <v>317</v>
      </c>
      <c r="C42" s="14" t="s">
        <v>318</v>
      </c>
      <c r="D42" s="14">
        <v>94.21</v>
      </c>
      <c r="E42" s="14" t="s">
        <v>319</v>
      </c>
      <c r="F42" s="14">
        <v>72</v>
      </c>
      <c r="G42" s="14"/>
      <c r="H42" s="14">
        <v>32</v>
      </c>
      <c r="I42" s="14">
        <f t="shared" si="1"/>
        <v>42.133</v>
      </c>
      <c r="J42" s="14"/>
      <c r="K42" s="14"/>
      <c r="L42" s="14"/>
      <c r="M42" s="14"/>
      <c r="N42" s="14"/>
      <c r="O42" s="14"/>
    </row>
    <row r="43" spans="1:15">
      <c r="A43" s="19" t="s">
        <v>119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</row>
  </sheetData>
  <mergeCells count="4">
    <mergeCell ref="A1:O1"/>
    <mergeCell ref="A2:O2"/>
    <mergeCell ref="A3:O3"/>
    <mergeCell ref="A43:O43"/>
  </mergeCells>
  <pageMargins left="0.75" right="0.75" top="1" bottom="1" header="0.5" footer="0.5"/>
  <pageSetup paperSize="9" scale="82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5"/>
  <sheetViews>
    <sheetView workbookViewId="0">
      <selection activeCell="N11" sqref="N11"/>
    </sheetView>
  </sheetViews>
  <sheetFormatPr defaultColWidth="9" defaultRowHeight="16.8"/>
  <cols>
    <col min="2" max="2" width="16.9711538461538" customWidth="1"/>
    <col min="3" max="3" width="12.4903846153846" customWidth="1"/>
    <col min="4" max="4" width="14.5769230769231" customWidth="1"/>
    <col min="5" max="5" width="12.5" customWidth="1"/>
    <col min="6" max="6" width="12.4903846153846" customWidth="1"/>
    <col min="7" max="7" width="13.2980769230769" customWidth="1"/>
    <col min="8" max="8" width="12.0192307692308" customWidth="1"/>
    <col min="9" max="9" width="18.1057692307692" customWidth="1"/>
  </cols>
  <sheetData>
    <row r="1" spans="1:15">
      <c r="A1" s="48" t="s">
        <v>0</v>
      </c>
      <c r="B1" s="49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ht="30" customHeight="1" spans="1:15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ht="27" customHeight="1" spans="1:15">
      <c r="A3" s="51" t="s">
        <v>320</v>
      </c>
      <c r="B3" s="52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</row>
    <row r="4" ht="53" spans="1:15">
      <c r="A4" s="53" t="s">
        <v>3</v>
      </c>
      <c r="B4" s="54" t="s">
        <v>4</v>
      </c>
      <c r="C4" s="55" t="s">
        <v>5</v>
      </c>
      <c r="D4" s="40" t="s">
        <v>6</v>
      </c>
      <c r="E4" s="40" t="s">
        <v>7</v>
      </c>
      <c r="F4" s="40" t="s">
        <v>8</v>
      </c>
      <c r="G4" s="40" t="s">
        <v>9</v>
      </c>
      <c r="H4" s="40" t="s">
        <v>10</v>
      </c>
      <c r="I4" s="40" t="s">
        <v>11</v>
      </c>
      <c r="J4" s="40" t="s">
        <v>12</v>
      </c>
      <c r="K4" s="40" t="s">
        <v>13</v>
      </c>
      <c r="L4" s="40" t="s">
        <v>14</v>
      </c>
      <c r="M4" s="40" t="s">
        <v>15</v>
      </c>
      <c r="N4" s="40" t="s">
        <v>16</v>
      </c>
      <c r="O4" s="40" t="s">
        <v>17</v>
      </c>
    </row>
    <row r="5" s="8" customFormat="1" ht="20" customHeight="1" spans="1:15">
      <c r="A5" s="13">
        <v>1</v>
      </c>
      <c r="B5" s="13">
        <v>20230802303</v>
      </c>
      <c r="C5" s="13" t="s">
        <v>321</v>
      </c>
      <c r="D5" s="13">
        <v>98.44</v>
      </c>
      <c r="E5" s="13">
        <v>87.55</v>
      </c>
      <c r="F5" s="13">
        <v>85.25</v>
      </c>
      <c r="G5" s="13">
        <v>26.5</v>
      </c>
      <c r="H5" s="13">
        <v>0</v>
      </c>
      <c r="I5" s="13">
        <f t="shared" ref="I5:I44" si="0">D5*0.3+E5*0.6+F5*0.1+G5-H5</f>
        <v>117.087</v>
      </c>
      <c r="J5" s="13"/>
      <c r="K5" s="13"/>
      <c r="L5" s="13"/>
      <c r="M5" s="13" t="s">
        <v>21</v>
      </c>
      <c r="N5" s="13" t="s">
        <v>21</v>
      </c>
      <c r="O5" s="13"/>
    </row>
    <row r="6" s="8" customFormat="1" ht="20" customHeight="1" spans="1:15">
      <c r="A6" s="13">
        <v>2</v>
      </c>
      <c r="B6" s="13">
        <v>20230802331</v>
      </c>
      <c r="C6" s="13" t="s">
        <v>322</v>
      </c>
      <c r="D6" s="13">
        <v>98.41</v>
      </c>
      <c r="E6" s="13">
        <v>88.64</v>
      </c>
      <c r="F6" s="13">
        <v>91</v>
      </c>
      <c r="G6" s="13">
        <v>23.5</v>
      </c>
      <c r="H6" s="13">
        <v>0</v>
      </c>
      <c r="I6" s="13">
        <f t="shared" si="0"/>
        <v>115.307</v>
      </c>
      <c r="J6" s="13"/>
      <c r="K6" s="13"/>
      <c r="L6" s="13" t="s">
        <v>21</v>
      </c>
      <c r="M6" s="13"/>
      <c r="N6" s="13" t="s">
        <v>21</v>
      </c>
      <c r="O6" s="13"/>
    </row>
    <row r="7" s="8" customFormat="1" ht="20" customHeight="1" spans="1:15">
      <c r="A7" s="13">
        <v>3</v>
      </c>
      <c r="B7" s="13">
        <v>20230802304</v>
      </c>
      <c r="C7" s="13" t="s">
        <v>323</v>
      </c>
      <c r="D7" s="13">
        <v>98.75</v>
      </c>
      <c r="E7" s="13">
        <v>86.27</v>
      </c>
      <c r="F7" s="13">
        <v>85.75</v>
      </c>
      <c r="G7" s="13">
        <v>12</v>
      </c>
      <c r="H7" s="13">
        <v>0</v>
      </c>
      <c r="I7" s="13">
        <f t="shared" si="0"/>
        <v>101.962</v>
      </c>
      <c r="J7" s="13"/>
      <c r="K7" s="13"/>
      <c r="L7" s="13"/>
      <c r="M7" s="13"/>
      <c r="N7" s="13" t="s">
        <v>21</v>
      </c>
      <c r="O7" s="13"/>
    </row>
    <row r="8" s="8" customFormat="1" ht="20" customHeight="1" spans="1:15">
      <c r="A8" s="13">
        <v>4</v>
      </c>
      <c r="B8" s="13">
        <v>20230802337</v>
      </c>
      <c r="C8" s="13" t="s">
        <v>324</v>
      </c>
      <c r="D8" s="13">
        <v>97.69</v>
      </c>
      <c r="E8" s="13">
        <v>84.18</v>
      </c>
      <c r="F8" s="13">
        <v>90.25</v>
      </c>
      <c r="G8" s="13">
        <v>11</v>
      </c>
      <c r="H8" s="13">
        <v>0</v>
      </c>
      <c r="I8" s="13">
        <f t="shared" si="0"/>
        <v>99.84</v>
      </c>
      <c r="J8" s="13"/>
      <c r="K8" s="13"/>
      <c r="L8" s="13"/>
      <c r="M8" s="13"/>
      <c r="N8" s="13" t="s">
        <v>21</v>
      </c>
      <c r="O8" s="13"/>
    </row>
    <row r="9" s="8" customFormat="1" ht="20" customHeight="1" spans="1:15">
      <c r="A9" s="13">
        <v>5</v>
      </c>
      <c r="B9" s="13">
        <v>20230802315</v>
      </c>
      <c r="C9" s="13" t="s">
        <v>325</v>
      </c>
      <c r="D9" s="13">
        <v>98.38</v>
      </c>
      <c r="E9" s="13">
        <v>81</v>
      </c>
      <c r="F9" s="13">
        <v>76.5</v>
      </c>
      <c r="G9" s="13">
        <v>14</v>
      </c>
      <c r="H9" s="13">
        <v>0</v>
      </c>
      <c r="I9" s="13">
        <f t="shared" si="0"/>
        <v>99.764</v>
      </c>
      <c r="J9" s="13"/>
      <c r="K9" s="13"/>
      <c r="L9" s="13"/>
      <c r="M9" s="13"/>
      <c r="N9" s="13"/>
      <c r="O9" s="13" t="s">
        <v>21</v>
      </c>
    </row>
    <row r="10" s="8" customFormat="1" ht="20" customHeight="1" spans="1:15">
      <c r="A10" s="13">
        <v>6</v>
      </c>
      <c r="B10" s="13">
        <v>20230802336</v>
      </c>
      <c r="C10" s="13" t="s">
        <v>326</v>
      </c>
      <c r="D10" s="13">
        <v>97.97</v>
      </c>
      <c r="E10" s="13">
        <v>82.73</v>
      </c>
      <c r="F10" s="13">
        <v>89.25</v>
      </c>
      <c r="G10" s="13">
        <v>11</v>
      </c>
      <c r="H10" s="13">
        <v>0</v>
      </c>
      <c r="I10" s="13">
        <f t="shared" si="0"/>
        <v>98.954</v>
      </c>
      <c r="J10" s="13"/>
      <c r="K10" s="13"/>
      <c r="L10" s="13"/>
      <c r="M10" s="13"/>
      <c r="N10" s="13" t="s">
        <v>21</v>
      </c>
      <c r="O10" s="13"/>
    </row>
    <row r="11" s="8" customFormat="1" ht="20" customHeight="1" spans="1:15">
      <c r="A11" s="13">
        <v>7</v>
      </c>
      <c r="B11" s="13">
        <v>20230802311</v>
      </c>
      <c r="C11" s="13" t="s">
        <v>327</v>
      </c>
      <c r="D11" s="13">
        <v>98.72</v>
      </c>
      <c r="E11" s="13">
        <v>85.18</v>
      </c>
      <c r="F11" s="13">
        <v>88.25</v>
      </c>
      <c r="G11" s="13">
        <v>7.5</v>
      </c>
      <c r="H11" s="13">
        <v>0</v>
      </c>
      <c r="I11" s="13">
        <f t="shared" si="0"/>
        <v>97.049</v>
      </c>
      <c r="J11" s="13"/>
      <c r="K11" s="13"/>
      <c r="L11" s="13"/>
      <c r="M11" s="13"/>
      <c r="N11" s="13" t="s">
        <v>21</v>
      </c>
      <c r="O11" s="13"/>
    </row>
    <row r="12" s="8" customFormat="1" ht="20" customHeight="1" spans="1:15">
      <c r="A12" s="13">
        <v>8</v>
      </c>
      <c r="B12" s="13">
        <v>20230802301</v>
      </c>
      <c r="C12" s="13" t="s">
        <v>328</v>
      </c>
      <c r="D12" s="13">
        <v>98.91</v>
      </c>
      <c r="E12" s="13">
        <v>87.82</v>
      </c>
      <c r="F12" s="13">
        <v>81.75</v>
      </c>
      <c r="G12" s="13">
        <v>5.5</v>
      </c>
      <c r="H12" s="13">
        <v>0</v>
      </c>
      <c r="I12" s="13">
        <f t="shared" si="0"/>
        <v>96.04</v>
      </c>
      <c r="J12" s="13"/>
      <c r="K12" s="13"/>
      <c r="L12" s="13"/>
      <c r="M12" s="13" t="s">
        <v>21</v>
      </c>
      <c r="N12" s="13"/>
      <c r="O12" s="13" t="s">
        <v>21</v>
      </c>
    </row>
    <row r="13" s="8" customFormat="1" ht="20" customHeight="1" spans="1:15">
      <c r="A13" s="13">
        <v>9</v>
      </c>
      <c r="B13" s="13">
        <v>20230802310</v>
      </c>
      <c r="C13" s="13" t="s">
        <v>329</v>
      </c>
      <c r="D13" s="13">
        <v>98.31</v>
      </c>
      <c r="E13" s="13">
        <v>84.27</v>
      </c>
      <c r="F13" s="13">
        <v>89.25</v>
      </c>
      <c r="G13" s="13">
        <v>5</v>
      </c>
      <c r="H13" s="13">
        <v>4</v>
      </c>
      <c r="I13" s="13">
        <f t="shared" si="0"/>
        <v>89.98</v>
      </c>
      <c r="J13" s="13"/>
      <c r="K13" s="13"/>
      <c r="L13" s="13"/>
      <c r="M13" s="13"/>
      <c r="N13" s="13"/>
      <c r="O13" s="13"/>
    </row>
    <row r="14" s="8" customFormat="1" ht="20" customHeight="1" spans="1:15">
      <c r="A14" s="13">
        <v>10</v>
      </c>
      <c r="B14" s="13">
        <v>20230802305</v>
      </c>
      <c r="C14" s="13" t="s">
        <v>330</v>
      </c>
      <c r="D14" s="13">
        <v>98.84</v>
      </c>
      <c r="E14" s="13">
        <v>84</v>
      </c>
      <c r="F14" s="13">
        <v>86.5</v>
      </c>
      <c r="G14" s="13">
        <v>2</v>
      </c>
      <c r="H14" s="13">
        <v>2</v>
      </c>
      <c r="I14" s="13">
        <f t="shared" si="0"/>
        <v>88.702</v>
      </c>
      <c r="J14" s="13"/>
      <c r="K14" s="13"/>
      <c r="L14" s="13"/>
      <c r="M14" s="13"/>
      <c r="N14" s="13"/>
      <c r="O14" s="13"/>
    </row>
    <row r="15" s="8" customFormat="1" ht="20" customHeight="1" spans="1:15">
      <c r="A15" s="13">
        <v>11</v>
      </c>
      <c r="B15" s="13">
        <v>20230802328</v>
      </c>
      <c r="C15" s="13" t="s">
        <v>331</v>
      </c>
      <c r="D15" s="13">
        <v>97.72</v>
      </c>
      <c r="E15" s="13">
        <v>82.09</v>
      </c>
      <c r="F15" s="13">
        <v>84.25</v>
      </c>
      <c r="G15" s="13">
        <v>0</v>
      </c>
      <c r="H15" s="13">
        <v>0</v>
      </c>
      <c r="I15" s="13">
        <f t="shared" si="0"/>
        <v>86.995</v>
      </c>
      <c r="J15" s="13"/>
      <c r="K15" s="13"/>
      <c r="L15" s="13"/>
      <c r="M15" s="13"/>
      <c r="N15" s="13"/>
      <c r="O15" s="13"/>
    </row>
    <row r="16" s="8" customFormat="1" ht="20" customHeight="1" spans="1:15">
      <c r="A16" s="13">
        <v>12</v>
      </c>
      <c r="B16" s="13">
        <v>20230802312</v>
      </c>
      <c r="C16" s="13" t="s">
        <v>332</v>
      </c>
      <c r="D16" s="13">
        <v>97.41</v>
      </c>
      <c r="E16" s="13">
        <v>80.64</v>
      </c>
      <c r="F16" s="13">
        <v>89.75</v>
      </c>
      <c r="G16" s="13">
        <v>0</v>
      </c>
      <c r="H16" s="13">
        <v>0</v>
      </c>
      <c r="I16" s="13">
        <f t="shared" si="0"/>
        <v>86.582</v>
      </c>
      <c r="J16" s="13"/>
      <c r="K16" s="13"/>
      <c r="L16" s="13"/>
      <c r="M16" s="13"/>
      <c r="N16" s="13"/>
      <c r="O16" s="13" t="s">
        <v>21</v>
      </c>
    </row>
    <row r="17" s="8" customFormat="1" ht="20" customHeight="1" spans="1:15">
      <c r="A17" s="13">
        <v>13</v>
      </c>
      <c r="B17" s="13">
        <v>20230802330</v>
      </c>
      <c r="C17" s="13" t="s">
        <v>333</v>
      </c>
      <c r="D17" s="13">
        <v>97.19</v>
      </c>
      <c r="E17" s="13">
        <v>80.27</v>
      </c>
      <c r="F17" s="13">
        <v>82.5</v>
      </c>
      <c r="G17" s="13">
        <v>0</v>
      </c>
      <c r="H17" s="13">
        <v>0</v>
      </c>
      <c r="I17" s="13">
        <f t="shared" si="0"/>
        <v>85.569</v>
      </c>
      <c r="J17" s="13"/>
      <c r="K17" s="13"/>
      <c r="L17" s="13"/>
      <c r="M17" s="13"/>
      <c r="N17" s="13"/>
      <c r="O17" s="13"/>
    </row>
    <row r="18" s="8" customFormat="1" ht="20" customHeight="1" spans="1:15">
      <c r="A18" s="13">
        <v>14</v>
      </c>
      <c r="B18" s="13">
        <v>20230802332</v>
      </c>
      <c r="C18" s="13" t="s">
        <v>334</v>
      </c>
      <c r="D18" s="13">
        <v>98.19</v>
      </c>
      <c r="E18" s="13">
        <v>81.27</v>
      </c>
      <c r="F18" s="13">
        <v>80.5</v>
      </c>
      <c r="G18" s="13">
        <v>0</v>
      </c>
      <c r="H18" s="13">
        <v>2</v>
      </c>
      <c r="I18" s="13">
        <f t="shared" si="0"/>
        <v>84.269</v>
      </c>
      <c r="J18" s="13"/>
      <c r="K18" s="13"/>
      <c r="L18" s="13"/>
      <c r="M18" s="13"/>
      <c r="N18" s="13"/>
      <c r="O18" s="13"/>
    </row>
    <row r="19" s="8" customFormat="1" ht="20" customHeight="1" spans="1:15">
      <c r="A19" s="13">
        <v>15</v>
      </c>
      <c r="B19" s="13">
        <v>20230802340</v>
      </c>
      <c r="C19" s="13" t="s">
        <v>335</v>
      </c>
      <c r="D19" s="13">
        <v>97.38</v>
      </c>
      <c r="E19" s="13">
        <v>81.18</v>
      </c>
      <c r="F19" s="13">
        <v>83</v>
      </c>
      <c r="G19" s="13">
        <v>0</v>
      </c>
      <c r="H19" s="13">
        <v>2</v>
      </c>
      <c r="I19" s="13">
        <f t="shared" si="0"/>
        <v>84.222</v>
      </c>
      <c r="J19" s="13"/>
      <c r="K19" s="13"/>
      <c r="L19" s="13"/>
      <c r="M19" s="13"/>
      <c r="N19" s="13"/>
      <c r="O19" s="13"/>
    </row>
    <row r="20" s="8" customFormat="1" ht="20" customHeight="1" spans="1:15">
      <c r="A20" s="13">
        <v>16</v>
      </c>
      <c r="B20" s="13">
        <v>20230802334</v>
      </c>
      <c r="C20" s="13" t="s">
        <v>336</v>
      </c>
      <c r="D20" s="13">
        <v>98.03</v>
      </c>
      <c r="E20" s="13">
        <v>77.18</v>
      </c>
      <c r="F20" s="13">
        <v>84.25</v>
      </c>
      <c r="G20" s="13">
        <v>0</v>
      </c>
      <c r="H20" s="13">
        <v>0</v>
      </c>
      <c r="I20" s="13">
        <f t="shared" si="0"/>
        <v>84.142</v>
      </c>
      <c r="J20" s="13"/>
      <c r="K20" s="13"/>
      <c r="L20" s="13"/>
      <c r="M20" s="13"/>
      <c r="N20" s="13"/>
      <c r="O20" s="13"/>
    </row>
    <row r="21" s="8" customFormat="1" ht="20" customHeight="1" spans="1:15">
      <c r="A21" s="14">
        <v>17</v>
      </c>
      <c r="B21" s="14">
        <v>20230802309</v>
      </c>
      <c r="C21" s="14" t="s">
        <v>337</v>
      </c>
      <c r="D21" s="14">
        <v>98.06</v>
      </c>
      <c r="E21" s="14">
        <v>79.45</v>
      </c>
      <c r="F21" s="14">
        <v>83.25</v>
      </c>
      <c r="G21" s="14">
        <v>0</v>
      </c>
      <c r="H21" s="14">
        <v>2</v>
      </c>
      <c r="I21" s="14">
        <f t="shared" si="0"/>
        <v>83.413</v>
      </c>
      <c r="J21" s="14"/>
      <c r="K21" s="14"/>
      <c r="L21" s="14"/>
      <c r="M21" s="14"/>
      <c r="N21" s="14"/>
      <c r="O21" s="14"/>
    </row>
    <row r="22" s="8" customFormat="1" ht="20" customHeight="1" spans="1:15">
      <c r="A22" s="14">
        <v>18</v>
      </c>
      <c r="B22" s="14">
        <v>20230802322</v>
      </c>
      <c r="C22" s="14" t="s">
        <v>338</v>
      </c>
      <c r="D22" s="14">
        <v>97.91</v>
      </c>
      <c r="E22" s="14">
        <v>80.45</v>
      </c>
      <c r="F22" s="14">
        <v>94.75</v>
      </c>
      <c r="G22" s="14">
        <v>0</v>
      </c>
      <c r="H22" s="14">
        <v>4</v>
      </c>
      <c r="I22" s="14">
        <f t="shared" si="0"/>
        <v>83.118</v>
      </c>
      <c r="J22" s="14"/>
      <c r="K22" s="14"/>
      <c r="L22" s="14"/>
      <c r="M22" s="14"/>
      <c r="N22" s="14"/>
      <c r="O22" s="14"/>
    </row>
    <row r="23" s="8" customFormat="1" ht="20" customHeight="1" spans="1:15">
      <c r="A23" s="14">
        <v>19</v>
      </c>
      <c r="B23" s="14">
        <v>20230802307</v>
      </c>
      <c r="C23" s="14" t="s">
        <v>339</v>
      </c>
      <c r="D23" s="14">
        <v>97.78</v>
      </c>
      <c r="E23" s="14">
        <v>76.27</v>
      </c>
      <c r="F23" s="14">
        <v>78.75</v>
      </c>
      <c r="G23" s="14">
        <v>0</v>
      </c>
      <c r="H23" s="14">
        <v>0</v>
      </c>
      <c r="I23" s="14">
        <f t="shared" si="0"/>
        <v>82.971</v>
      </c>
      <c r="J23" s="14"/>
      <c r="K23" s="14"/>
      <c r="L23" s="14"/>
      <c r="M23" s="14"/>
      <c r="N23" s="14"/>
      <c r="O23" s="14"/>
    </row>
    <row r="24" s="8" customFormat="1" ht="20" customHeight="1" spans="1:15">
      <c r="A24" s="14">
        <v>20</v>
      </c>
      <c r="B24" s="14">
        <v>20230802302</v>
      </c>
      <c r="C24" s="14" t="s">
        <v>340</v>
      </c>
      <c r="D24" s="14">
        <v>97.78</v>
      </c>
      <c r="E24" s="14">
        <v>78.91</v>
      </c>
      <c r="F24" s="14">
        <v>82</v>
      </c>
      <c r="G24" s="14">
        <v>0</v>
      </c>
      <c r="H24" s="14">
        <v>2</v>
      </c>
      <c r="I24" s="14">
        <f t="shared" si="0"/>
        <v>82.88</v>
      </c>
      <c r="J24" s="14"/>
      <c r="K24" s="14"/>
      <c r="L24" s="14"/>
      <c r="M24" s="14"/>
      <c r="N24" s="14"/>
      <c r="O24" s="14"/>
    </row>
    <row r="25" s="8" customFormat="1" ht="20" customHeight="1" spans="1:15">
      <c r="A25" s="14">
        <v>21</v>
      </c>
      <c r="B25" s="14">
        <v>20230802339</v>
      </c>
      <c r="C25" s="14" t="s">
        <v>341</v>
      </c>
      <c r="D25" s="14">
        <v>97.09</v>
      </c>
      <c r="E25" s="14">
        <v>77.18</v>
      </c>
      <c r="F25" s="14">
        <v>86.25</v>
      </c>
      <c r="G25" s="14">
        <v>0</v>
      </c>
      <c r="H25" s="14">
        <v>4</v>
      </c>
      <c r="I25" s="14">
        <f t="shared" si="0"/>
        <v>80.06</v>
      </c>
      <c r="J25" s="14"/>
      <c r="K25" s="14"/>
      <c r="L25" s="14"/>
      <c r="M25" s="14"/>
      <c r="N25" s="14"/>
      <c r="O25" s="14"/>
    </row>
    <row r="26" s="8" customFormat="1" ht="20" customHeight="1" spans="1:15">
      <c r="A26" s="14">
        <v>22</v>
      </c>
      <c r="B26" s="14">
        <v>20230802324</v>
      </c>
      <c r="C26" s="14" t="s">
        <v>342</v>
      </c>
      <c r="D26" s="14">
        <v>97.94</v>
      </c>
      <c r="E26" s="14">
        <v>77.64</v>
      </c>
      <c r="F26" s="14">
        <v>75.75</v>
      </c>
      <c r="G26" s="14">
        <v>0</v>
      </c>
      <c r="H26" s="14">
        <v>4</v>
      </c>
      <c r="I26" s="14">
        <f t="shared" si="0"/>
        <v>79.541</v>
      </c>
      <c r="J26" s="14"/>
      <c r="K26" s="14"/>
      <c r="L26" s="14"/>
      <c r="M26" s="14"/>
      <c r="N26" s="14"/>
      <c r="O26" s="14"/>
    </row>
    <row r="27" s="8" customFormat="1" ht="20" customHeight="1" spans="1:15">
      <c r="A27" s="14">
        <v>23</v>
      </c>
      <c r="B27" s="14">
        <v>20230802333</v>
      </c>
      <c r="C27" s="14" t="s">
        <v>343</v>
      </c>
      <c r="D27" s="14">
        <v>98.22</v>
      </c>
      <c r="E27" s="14">
        <v>75.45</v>
      </c>
      <c r="F27" s="14">
        <v>82.75</v>
      </c>
      <c r="G27" s="14">
        <v>0</v>
      </c>
      <c r="H27" s="14">
        <v>4</v>
      </c>
      <c r="I27" s="14">
        <f t="shared" si="0"/>
        <v>79.011</v>
      </c>
      <c r="J27" s="14"/>
      <c r="K27" s="14"/>
      <c r="L27" s="14"/>
      <c r="M27" s="14"/>
      <c r="N27" s="14"/>
      <c r="O27" s="14"/>
    </row>
    <row r="28" s="8" customFormat="1" ht="20" customHeight="1" spans="1:15">
      <c r="A28" s="14">
        <v>24</v>
      </c>
      <c r="B28" s="14">
        <v>20230802318</v>
      </c>
      <c r="C28" s="14" t="s">
        <v>344</v>
      </c>
      <c r="D28" s="14">
        <v>97.94</v>
      </c>
      <c r="E28" s="14">
        <v>80.91</v>
      </c>
      <c r="F28" s="14">
        <v>76.25</v>
      </c>
      <c r="G28" s="14">
        <v>4</v>
      </c>
      <c r="H28" s="14">
        <v>12</v>
      </c>
      <c r="I28" s="14">
        <f t="shared" si="0"/>
        <v>77.553</v>
      </c>
      <c r="J28" s="14"/>
      <c r="K28" s="14"/>
      <c r="L28" s="14"/>
      <c r="M28" s="14"/>
      <c r="N28" s="14"/>
      <c r="O28" s="14"/>
    </row>
    <row r="29" s="8" customFormat="1" ht="20" customHeight="1" spans="1:15">
      <c r="A29" s="14">
        <v>25</v>
      </c>
      <c r="B29" s="14">
        <v>20230802325</v>
      </c>
      <c r="C29" s="14" t="s">
        <v>345</v>
      </c>
      <c r="D29" s="14">
        <v>98.19</v>
      </c>
      <c r="E29" s="14">
        <v>79.36</v>
      </c>
      <c r="F29" s="14">
        <v>79.75</v>
      </c>
      <c r="G29" s="14">
        <v>0</v>
      </c>
      <c r="H29" s="14">
        <v>8</v>
      </c>
      <c r="I29" s="14">
        <f t="shared" si="0"/>
        <v>77.048</v>
      </c>
      <c r="J29" s="14"/>
      <c r="K29" s="14"/>
      <c r="L29" s="14"/>
      <c r="M29" s="14"/>
      <c r="N29" s="14"/>
      <c r="O29" s="14"/>
    </row>
    <row r="30" s="8" customFormat="1" ht="20" customHeight="1" spans="1:15">
      <c r="A30" s="14">
        <v>26</v>
      </c>
      <c r="B30" s="14">
        <v>20230802323</v>
      </c>
      <c r="C30" s="14" t="s">
        <v>346</v>
      </c>
      <c r="D30" s="14">
        <v>98.06</v>
      </c>
      <c r="E30" s="14">
        <v>74.18</v>
      </c>
      <c r="F30" s="14">
        <v>84</v>
      </c>
      <c r="G30" s="14">
        <v>0</v>
      </c>
      <c r="H30" s="14">
        <v>6</v>
      </c>
      <c r="I30" s="14">
        <f t="shared" si="0"/>
        <v>76.326</v>
      </c>
      <c r="J30" s="14"/>
      <c r="K30" s="14"/>
      <c r="L30" s="14"/>
      <c r="M30" s="14"/>
      <c r="N30" s="14"/>
      <c r="O30" s="14"/>
    </row>
    <row r="31" s="8" customFormat="1" ht="20" customHeight="1" spans="1:15">
      <c r="A31" s="14">
        <v>27</v>
      </c>
      <c r="B31" s="14">
        <v>20230802319</v>
      </c>
      <c r="C31" s="14" t="s">
        <v>347</v>
      </c>
      <c r="D31" s="14">
        <v>97.47</v>
      </c>
      <c r="E31" s="14">
        <v>73.64</v>
      </c>
      <c r="F31" s="14">
        <v>77.25</v>
      </c>
      <c r="G31" s="14">
        <v>0</v>
      </c>
      <c r="H31" s="14">
        <v>6</v>
      </c>
      <c r="I31" s="14">
        <f t="shared" si="0"/>
        <v>75.15</v>
      </c>
      <c r="J31" s="14"/>
      <c r="K31" s="14"/>
      <c r="L31" s="14"/>
      <c r="M31" s="14"/>
      <c r="N31" s="14"/>
      <c r="O31" s="14"/>
    </row>
    <row r="32" s="8" customFormat="1" ht="20" customHeight="1" spans="1:15">
      <c r="A32" s="14">
        <v>28</v>
      </c>
      <c r="B32" s="14">
        <v>20230802329</v>
      </c>
      <c r="C32" s="14" t="s">
        <v>348</v>
      </c>
      <c r="D32" s="14">
        <v>98</v>
      </c>
      <c r="E32" s="14">
        <v>77.36</v>
      </c>
      <c r="F32" s="14">
        <v>77</v>
      </c>
      <c r="G32" s="14">
        <v>0</v>
      </c>
      <c r="H32" s="14">
        <v>10</v>
      </c>
      <c r="I32" s="14">
        <f t="shared" si="0"/>
        <v>73.516</v>
      </c>
      <c r="J32" s="14"/>
      <c r="K32" s="14"/>
      <c r="L32" s="14"/>
      <c r="M32" s="14"/>
      <c r="N32" s="14"/>
      <c r="O32" s="14"/>
    </row>
    <row r="33" s="8" customFormat="1" ht="20" customHeight="1" spans="1:15">
      <c r="A33" s="14">
        <v>29</v>
      </c>
      <c r="B33" s="14">
        <v>20230802326</v>
      </c>
      <c r="C33" s="14" t="s">
        <v>349</v>
      </c>
      <c r="D33" s="14">
        <v>97.88</v>
      </c>
      <c r="E33" s="14">
        <v>77.36</v>
      </c>
      <c r="F33" s="14">
        <v>81.75</v>
      </c>
      <c r="G33" s="14">
        <v>0</v>
      </c>
      <c r="H33" s="14">
        <v>12</v>
      </c>
      <c r="I33" s="14">
        <f t="shared" si="0"/>
        <v>71.955</v>
      </c>
      <c r="J33" s="14"/>
      <c r="K33" s="14"/>
      <c r="L33" s="14"/>
      <c r="M33" s="14"/>
      <c r="N33" s="14"/>
      <c r="O33" s="14"/>
    </row>
    <row r="34" s="8" customFormat="1" ht="20" customHeight="1" spans="1:15">
      <c r="A34" s="14">
        <v>30</v>
      </c>
      <c r="B34" s="14">
        <v>20230802313</v>
      </c>
      <c r="C34" s="14" t="s">
        <v>350</v>
      </c>
      <c r="D34" s="14">
        <v>97.78</v>
      </c>
      <c r="E34" s="14">
        <v>76.91</v>
      </c>
      <c r="F34" s="14">
        <v>78.75</v>
      </c>
      <c r="G34" s="14">
        <v>0</v>
      </c>
      <c r="H34" s="14">
        <v>12</v>
      </c>
      <c r="I34" s="14">
        <f t="shared" si="0"/>
        <v>71.355</v>
      </c>
      <c r="J34" s="14"/>
      <c r="K34" s="14"/>
      <c r="L34" s="14"/>
      <c r="M34" s="14"/>
      <c r="N34" s="14"/>
      <c r="O34" s="14"/>
    </row>
    <row r="35" s="8" customFormat="1" ht="20" customHeight="1" spans="1:15">
      <c r="A35" s="14">
        <v>31</v>
      </c>
      <c r="B35" s="14">
        <v>20230802320</v>
      </c>
      <c r="C35" s="14" t="s">
        <v>351</v>
      </c>
      <c r="D35" s="14">
        <v>97.91</v>
      </c>
      <c r="E35" s="14">
        <v>76.27</v>
      </c>
      <c r="F35" s="14">
        <v>76.75</v>
      </c>
      <c r="G35" s="14">
        <v>0</v>
      </c>
      <c r="H35" s="14">
        <v>12</v>
      </c>
      <c r="I35" s="14">
        <f t="shared" si="0"/>
        <v>70.81</v>
      </c>
      <c r="J35" s="14"/>
      <c r="K35" s="14"/>
      <c r="L35" s="14"/>
      <c r="M35" s="14"/>
      <c r="N35" s="14"/>
      <c r="O35" s="14"/>
    </row>
    <row r="36" s="8" customFormat="1" ht="20" customHeight="1" spans="1:15">
      <c r="A36" s="14">
        <v>32</v>
      </c>
      <c r="B36" s="14">
        <v>20230802308</v>
      </c>
      <c r="C36" s="14" t="s">
        <v>352</v>
      </c>
      <c r="D36" s="14">
        <v>98.56</v>
      </c>
      <c r="E36" s="14">
        <v>74.91</v>
      </c>
      <c r="F36" s="14">
        <v>80</v>
      </c>
      <c r="G36" s="14">
        <v>0</v>
      </c>
      <c r="H36" s="14">
        <v>20</v>
      </c>
      <c r="I36" s="14">
        <f t="shared" si="0"/>
        <v>62.514</v>
      </c>
      <c r="J36" s="14"/>
      <c r="K36" s="14"/>
      <c r="L36" s="14"/>
      <c r="M36" s="14"/>
      <c r="N36" s="14"/>
      <c r="O36" s="14"/>
    </row>
    <row r="37" s="8" customFormat="1" ht="20" customHeight="1" spans="1:15">
      <c r="A37" s="14">
        <v>33</v>
      </c>
      <c r="B37" s="14">
        <v>20230802327</v>
      </c>
      <c r="C37" s="14" t="s">
        <v>353</v>
      </c>
      <c r="D37" s="14">
        <v>97.88</v>
      </c>
      <c r="E37" s="14">
        <v>75.18</v>
      </c>
      <c r="F37" s="14">
        <v>83</v>
      </c>
      <c r="G37" s="14">
        <v>0</v>
      </c>
      <c r="H37" s="14">
        <v>22</v>
      </c>
      <c r="I37" s="14">
        <f t="shared" si="0"/>
        <v>60.772</v>
      </c>
      <c r="J37" s="14"/>
      <c r="K37" s="14"/>
      <c r="L37" s="14"/>
      <c r="M37" s="14"/>
      <c r="N37" s="14"/>
      <c r="O37" s="14"/>
    </row>
    <row r="38" s="8" customFormat="1" ht="20" customHeight="1" spans="1:15">
      <c r="A38" s="14">
        <v>34</v>
      </c>
      <c r="B38" s="14">
        <v>20230802314</v>
      </c>
      <c r="C38" s="14" t="s">
        <v>354</v>
      </c>
      <c r="D38" s="14">
        <v>97.53</v>
      </c>
      <c r="E38" s="14">
        <v>75</v>
      </c>
      <c r="F38" s="14">
        <v>83.75</v>
      </c>
      <c r="G38" s="14">
        <v>4</v>
      </c>
      <c r="H38" s="14">
        <v>26</v>
      </c>
      <c r="I38" s="14">
        <f t="shared" si="0"/>
        <v>60.634</v>
      </c>
      <c r="J38" s="14"/>
      <c r="K38" s="14"/>
      <c r="L38" s="14"/>
      <c r="M38" s="14"/>
      <c r="N38" s="14"/>
      <c r="O38" s="14"/>
    </row>
    <row r="39" s="8" customFormat="1" ht="20" customHeight="1" spans="1:15">
      <c r="A39" s="14">
        <v>35</v>
      </c>
      <c r="B39" s="14">
        <v>20230802316</v>
      </c>
      <c r="C39" s="14" t="s">
        <v>355</v>
      </c>
      <c r="D39" s="14">
        <v>97.59</v>
      </c>
      <c r="E39" s="14">
        <v>78.27</v>
      </c>
      <c r="F39" s="14">
        <v>82</v>
      </c>
      <c r="G39" s="14">
        <v>0</v>
      </c>
      <c r="H39" s="14">
        <v>26</v>
      </c>
      <c r="I39" s="14">
        <f t="shared" si="0"/>
        <v>58.439</v>
      </c>
      <c r="J39" s="14"/>
      <c r="K39" s="14"/>
      <c r="L39" s="14"/>
      <c r="M39" s="14"/>
      <c r="N39" s="14"/>
      <c r="O39" s="14"/>
    </row>
    <row r="40" s="8" customFormat="1" ht="20" customHeight="1" spans="1:15">
      <c r="A40" s="14">
        <v>36</v>
      </c>
      <c r="B40" s="14">
        <v>20230802317</v>
      </c>
      <c r="C40" s="14" t="s">
        <v>356</v>
      </c>
      <c r="D40" s="14">
        <v>97.63</v>
      </c>
      <c r="E40" s="14">
        <v>75</v>
      </c>
      <c r="F40" s="14">
        <v>79</v>
      </c>
      <c r="G40" s="14">
        <v>0</v>
      </c>
      <c r="H40" s="14">
        <v>24</v>
      </c>
      <c r="I40" s="14">
        <f t="shared" si="0"/>
        <v>58.189</v>
      </c>
      <c r="J40" s="14"/>
      <c r="K40" s="14"/>
      <c r="L40" s="14"/>
      <c r="M40" s="14"/>
      <c r="N40" s="14"/>
      <c r="O40" s="14"/>
    </row>
    <row r="41" s="8" customFormat="1" ht="20" customHeight="1" spans="1:15">
      <c r="A41" s="14">
        <v>37</v>
      </c>
      <c r="B41" s="14">
        <v>20230802321</v>
      </c>
      <c r="C41" s="14" t="s">
        <v>357</v>
      </c>
      <c r="D41" s="14">
        <v>98.06</v>
      </c>
      <c r="E41" s="14">
        <v>74.09</v>
      </c>
      <c r="F41" s="14">
        <v>89.75</v>
      </c>
      <c r="G41" s="14">
        <v>0</v>
      </c>
      <c r="H41" s="14">
        <v>26</v>
      </c>
      <c r="I41" s="14">
        <f t="shared" si="0"/>
        <v>56.847</v>
      </c>
      <c r="J41" s="14"/>
      <c r="K41" s="14"/>
      <c r="L41" s="14"/>
      <c r="M41" s="14"/>
      <c r="N41" s="14"/>
      <c r="O41" s="14"/>
    </row>
    <row r="42" s="8" customFormat="1" ht="20" customHeight="1" spans="1:15">
      <c r="A42" s="14">
        <v>38</v>
      </c>
      <c r="B42" s="14">
        <v>20230802335</v>
      </c>
      <c r="C42" s="14" t="s">
        <v>358</v>
      </c>
      <c r="D42" s="14">
        <v>96.59</v>
      </c>
      <c r="E42" s="14">
        <v>73.55</v>
      </c>
      <c r="F42" s="14">
        <v>79.25</v>
      </c>
      <c r="G42" s="14">
        <v>0</v>
      </c>
      <c r="H42" s="14">
        <v>30</v>
      </c>
      <c r="I42" s="14">
        <f t="shared" si="0"/>
        <v>51.032</v>
      </c>
      <c r="J42" s="14"/>
      <c r="K42" s="14"/>
      <c r="L42" s="14"/>
      <c r="M42" s="14"/>
      <c r="N42" s="14"/>
      <c r="O42" s="14"/>
    </row>
    <row r="43" s="8" customFormat="1" ht="20" customHeight="1" spans="1:15">
      <c r="A43" s="14">
        <v>39</v>
      </c>
      <c r="B43" s="14">
        <v>20230802338</v>
      </c>
      <c r="C43" s="14" t="s">
        <v>359</v>
      </c>
      <c r="D43" s="14">
        <v>97.13</v>
      </c>
      <c r="E43" s="14">
        <v>78.64</v>
      </c>
      <c r="F43" s="14">
        <v>82</v>
      </c>
      <c r="G43" s="14">
        <v>0</v>
      </c>
      <c r="H43" s="14">
        <v>40</v>
      </c>
      <c r="I43" s="14">
        <f t="shared" si="0"/>
        <v>44.523</v>
      </c>
      <c r="J43" s="14"/>
      <c r="K43" s="14"/>
      <c r="L43" s="14"/>
      <c r="M43" s="14"/>
      <c r="N43" s="14"/>
      <c r="O43" s="14"/>
    </row>
    <row r="44" s="8" customFormat="1" ht="20" customHeight="1" spans="1:15">
      <c r="A44" s="14">
        <v>40</v>
      </c>
      <c r="B44" s="14">
        <v>20220802137</v>
      </c>
      <c r="C44" s="14" t="s">
        <v>360</v>
      </c>
      <c r="D44" s="14">
        <v>96.06</v>
      </c>
      <c r="E44" s="14">
        <v>68.6</v>
      </c>
      <c r="F44" s="14">
        <v>0</v>
      </c>
      <c r="G44" s="14">
        <v>0</v>
      </c>
      <c r="H44" s="14">
        <v>91</v>
      </c>
      <c r="I44" s="14">
        <f t="shared" si="0"/>
        <v>-21.022</v>
      </c>
      <c r="J44" s="14"/>
      <c r="K44" s="14"/>
      <c r="L44" s="14"/>
      <c r="M44" s="14"/>
      <c r="N44" s="14"/>
      <c r="O44" s="14"/>
    </row>
    <row r="45" spans="1:15">
      <c r="A45" s="19" t="s">
        <v>119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</row>
  </sheetData>
  <mergeCells count="4">
    <mergeCell ref="A1:O1"/>
    <mergeCell ref="A2:O2"/>
    <mergeCell ref="A3:O3"/>
    <mergeCell ref="A45:O45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5"/>
  <sheetViews>
    <sheetView workbookViewId="0">
      <selection activeCell="E8" sqref="E8"/>
    </sheetView>
  </sheetViews>
  <sheetFormatPr defaultColWidth="9" defaultRowHeight="16.8"/>
  <cols>
    <col min="2" max="2" width="18.0961538461538" customWidth="1"/>
    <col min="3" max="3" width="11.7019230769231" customWidth="1"/>
    <col min="4" max="4" width="13.4519230769231" customWidth="1"/>
    <col min="5" max="5" width="13.9423076923077" customWidth="1"/>
    <col min="6" max="6" width="14.5769230769231" customWidth="1"/>
    <col min="7" max="7" width="13.9326923076923" customWidth="1"/>
    <col min="8" max="8" width="11.6923076923077" customWidth="1"/>
    <col min="9" max="9" width="19.3942307692308" customWidth="1"/>
  </cols>
  <sheetData>
    <row r="1" spans="1:1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ht="35" customHeight="1" spans="1:1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ht="25" customHeight="1" spans="1:15">
      <c r="A3" s="18" t="s">
        <v>361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ht="75" customHeight="1" spans="1:1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</row>
    <row r="5" s="8" customFormat="1" ht="20" customHeight="1" spans="1:15">
      <c r="A5" s="13">
        <v>1</v>
      </c>
      <c r="B5" s="13">
        <v>20230805331</v>
      </c>
      <c r="C5" s="13" t="s">
        <v>362</v>
      </c>
      <c r="D5" s="13">
        <v>94.8974358974359</v>
      </c>
      <c r="E5" s="13">
        <v>90.27</v>
      </c>
      <c r="F5" s="13">
        <v>86</v>
      </c>
      <c r="G5" s="13">
        <v>16</v>
      </c>
      <c r="H5" s="13"/>
      <c r="I5" s="13">
        <f t="shared" ref="I5:I44" si="0">D5*0.3+E5*0.6+F5*0.1+G5-H5</f>
        <v>107.231230769231</v>
      </c>
      <c r="J5" s="13"/>
      <c r="K5" s="13" t="s">
        <v>21</v>
      </c>
      <c r="L5" s="13"/>
      <c r="M5" s="13"/>
      <c r="N5" s="13" t="s">
        <v>21</v>
      </c>
      <c r="O5" s="13"/>
    </row>
    <row r="6" s="8" customFormat="1" ht="20" customHeight="1" spans="1:15">
      <c r="A6" s="13">
        <v>2</v>
      </c>
      <c r="B6" s="13">
        <v>20230805114</v>
      </c>
      <c r="C6" s="13" t="s">
        <v>363</v>
      </c>
      <c r="D6" s="13">
        <v>95.6153846153846</v>
      </c>
      <c r="E6" s="13">
        <v>90.45</v>
      </c>
      <c r="F6" s="13">
        <v>86.75</v>
      </c>
      <c r="G6" s="13">
        <v>2</v>
      </c>
      <c r="H6" s="13"/>
      <c r="I6" s="13">
        <f t="shared" si="0"/>
        <v>93.6296153846154</v>
      </c>
      <c r="J6" s="13"/>
      <c r="K6" s="13" t="s">
        <v>21</v>
      </c>
      <c r="L6" s="13"/>
      <c r="M6" s="13"/>
      <c r="N6" s="13" t="s">
        <v>21</v>
      </c>
      <c r="O6" s="13"/>
    </row>
    <row r="7" s="8" customFormat="1" ht="20" customHeight="1" spans="1:15">
      <c r="A7" s="13">
        <v>3</v>
      </c>
      <c r="B7" s="13">
        <v>20230805103</v>
      </c>
      <c r="C7" s="13" t="s">
        <v>364</v>
      </c>
      <c r="D7" s="13">
        <v>95.2564102564103</v>
      </c>
      <c r="E7" s="13">
        <v>84.09</v>
      </c>
      <c r="F7" s="13">
        <v>87.5</v>
      </c>
      <c r="G7" s="13">
        <v>3</v>
      </c>
      <c r="H7" s="13"/>
      <c r="I7" s="13">
        <f t="shared" si="0"/>
        <v>90.7809230769231</v>
      </c>
      <c r="J7" s="13"/>
      <c r="K7" s="13"/>
      <c r="L7" s="13"/>
      <c r="M7" s="13"/>
      <c r="N7" s="13" t="s">
        <v>21</v>
      </c>
      <c r="O7" s="13"/>
    </row>
    <row r="8" s="8" customFormat="1" ht="20" customHeight="1" spans="1:15">
      <c r="A8" s="13">
        <v>4</v>
      </c>
      <c r="B8" s="13">
        <v>20230805101</v>
      </c>
      <c r="C8" s="13" t="s">
        <v>365</v>
      </c>
      <c r="D8" s="13">
        <v>95.3846153846154</v>
      </c>
      <c r="E8" s="13">
        <v>84.73</v>
      </c>
      <c r="F8" s="13">
        <v>83.25</v>
      </c>
      <c r="G8" s="13">
        <v>3</v>
      </c>
      <c r="H8" s="13"/>
      <c r="I8" s="13">
        <f t="shared" si="0"/>
        <v>90.7783846153846</v>
      </c>
      <c r="J8" s="13"/>
      <c r="K8" s="13"/>
      <c r="L8" s="13"/>
      <c r="M8" s="13"/>
      <c r="N8" s="13" t="s">
        <v>21</v>
      </c>
      <c r="O8" s="13"/>
    </row>
    <row r="9" s="8" customFormat="1" ht="20" customHeight="1" spans="1:15">
      <c r="A9" s="13">
        <v>5</v>
      </c>
      <c r="B9" s="13">
        <v>20230805136</v>
      </c>
      <c r="C9" s="13" t="s">
        <v>366</v>
      </c>
      <c r="D9" s="13">
        <v>95.2564102564103</v>
      </c>
      <c r="E9" s="13">
        <v>80.36</v>
      </c>
      <c r="F9" s="13">
        <v>89</v>
      </c>
      <c r="G9" s="13">
        <v>5</v>
      </c>
      <c r="H9" s="13"/>
      <c r="I9" s="13">
        <f t="shared" si="0"/>
        <v>90.6929230769231</v>
      </c>
      <c r="J9" s="13"/>
      <c r="K9" s="13"/>
      <c r="L9" s="13"/>
      <c r="M9" s="13"/>
      <c r="N9" s="13" t="s">
        <v>21</v>
      </c>
      <c r="O9" s="13"/>
    </row>
    <row r="10" s="8" customFormat="1" ht="20" customHeight="1" spans="1:15">
      <c r="A10" s="13">
        <v>6</v>
      </c>
      <c r="B10" s="13">
        <v>20230805106</v>
      </c>
      <c r="C10" s="13" t="s">
        <v>367</v>
      </c>
      <c r="D10" s="13">
        <v>95.1025641025641</v>
      </c>
      <c r="E10" s="13">
        <v>79.18</v>
      </c>
      <c r="F10" s="13">
        <v>88</v>
      </c>
      <c r="G10" s="13">
        <v>4.5</v>
      </c>
      <c r="H10" s="13"/>
      <c r="I10" s="13">
        <f t="shared" si="0"/>
        <v>89.3387692307692</v>
      </c>
      <c r="J10" s="13"/>
      <c r="K10" s="13"/>
      <c r="L10" s="13"/>
      <c r="M10" s="13"/>
      <c r="N10" s="13" t="s">
        <v>21</v>
      </c>
      <c r="O10" s="13"/>
    </row>
    <row r="11" s="8" customFormat="1" ht="20" customHeight="1" spans="1:15">
      <c r="A11" s="13">
        <v>7</v>
      </c>
      <c r="B11" s="13">
        <v>20230805121</v>
      </c>
      <c r="C11" s="13" t="s">
        <v>368</v>
      </c>
      <c r="D11" s="13">
        <v>95.5384615384615</v>
      </c>
      <c r="E11" s="13">
        <v>84.73</v>
      </c>
      <c r="F11" s="13">
        <v>85</v>
      </c>
      <c r="G11" s="13"/>
      <c r="H11" s="13"/>
      <c r="I11" s="13">
        <f t="shared" si="0"/>
        <v>87.9995384615384</v>
      </c>
      <c r="J11" s="13"/>
      <c r="K11" s="13"/>
      <c r="L11" s="13"/>
      <c r="M11" s="13"/>
      <c r="N11" s="13"/>
      <c r="O11" s="13"/>
    </row>
    <row r="12" s="8" customFormat="1" ht="20" customHeight="1" spans="1:15">
      <c r="A12" s="13">
        <v>8</v>
      </c>
      <c r="B12" s="13">
        <v>20230805131</v>
      </c>
      <c r="C12" s="13" t="s">
        <v>369</v>
      </c>
      <c r="D12" s="13">
        <v>95.4358974358974</v>
      </c>
      <c r="E12" s="13">
        <v>84</v>
      </c>
      <c r="F12" s="13">
        <v>87.25</v>
      </c>
      <c r="G12" s="13"/>
      <c r="H12" s="13"/>
      <c r="I12" s="13">
        <f t="shared" si="0"/>
        <v>87.7557692307692</v>
      </c>
      <c r="J12" s="13"/>
      <c r="K12" s="13"/>
      <c r="L12" s="13"/>
      <c r="M12" s="13"/>
      <c r="N12" s="13"/>
      <c r="O12" s="13"/>
    </row>
    <row r="13" s="8" customFormat="1" ht="20" customHeight="1" spans="1:15">
      <c r="A13" s="13">
        <v>9</v>
      </c>
      <c r="B13" s="13">
        <v>20230805141</v>
      </c>
      <c r="C13" s="13" t="s">
        <v>370</v>
      </c>
      <c r="D13" s="13">
        <v>95.4615384615385</v>
      </c>
      <c r="E13" s="13">
        <v>83</v>
      </c>
      <c r="F13" s="13">
        <v>85.5</v>
      </c>
      <c r="G13" s="13"/>
      <c r="H13" s="13"/>
      <c r="I13" s="13">
        <f t="shared" si="0"/>
        <v>86.9884615384615</v>
      </c>
      <c r="J13" s="13"/>
      <c r="K13" s="13"/>
      <c r="L13" s="13"/>
      <c r="M13" s="13"/>
      <c r="N13" s="13"/>
      <c r="O13" s="13"/>
    </row>
    <row r="14" s="8" customFormat="1" ht="20" customHeight="1" spans="1:15">
      <c r="A14" s="13">
        <v>10</v>
      </c>
      <c r="B14" s="13">
        <v>20230805112</v>
      </c>
      <c r="C14" s="13" t="s">
        <v>371</v>
      </c>
      <c r="D14" s="13">
        <v>95.2307692307692</v>
      </c>
      <c r="E14" s="13">
        <v>84.45</v>
      </c>
      <c r="F14" s="13">
        <v>86</v>
      </c>
      <c r="G14" s="13"/>
      <c r="H14" s="13">
        <v>1</v>
      </c>
      <c r="I14" s="13">
        <f t="shared" si="0"/>
        <v>86.8392307692308</v>
      </c>
      <c r="J14" s="13"/>
      <c r="K14" s="13"/>
      <c r="L14" s="13"/>
      <c r="M14" s="13"/>
      <c r="N14" s="13"/>
      <c r="O14" s="13"/>
    </row>
    <row r="15" s="8" customFormat="1" ht="20" customHeight="1" spans="1:15">
      <c r="A15" s="13">
        <v>11</v>
      </c>
      <c r="B15" s="13">
        <v>20230805117</v>
      </c>
      <c r="C15" s="13" t="s">
        <v>372</v>
      </c>
      <c r="D15" s="13">
        <v>95.3076923076923</v>
      </c>
      <c r="E15" s="13">
        <v>83.91</v>
      </c>
      <c r="F15" s="13">
        <v>87.5</v>
      </c>
      <c r="G15" s="13"/>
      <c r="H15" s="13">
        <v>1</v>
      </c>
      <c r="I15" s="13">
        <f t="shared" si="0"/>
        <v>86.6883076923077</v>
      </c>
      <c r="J15" s="13"/>
      <c r="K15" s="13"/>
      <c r="L15" s="13"/>
      <c r="M15" s="13"/>
      <c r="N15" s="13"/>
      <c r="O15" s="13"/>
    </row>
    <row r="16" s="8" customFormat="1" ht="20" customHeight="1" spans="1:15">
      <c r="A16" s="13">
        <v>12</v>
      </c>
      <c r="B16" s="13">
        <v>20230805105</v>
      </c>
      <c r="C16" s="13" t="s">
        <v>373</v>
      </c>
      <c r="D16" s="13">
        <v>95.3589743589744</v>
      </c>
      <c r="E16" s="13">
        <v>80.27</v>
      </c>
      <c r="F16" s="13">
        <v>86.75</v>
      </c>
      <c r="G16" s="13"/>
      <c r="H16" s="13"/>
      <c r="I16" s="13">
        <f t="shared" si="0"/>
        <v>85.4446923076923</v>
      </c>
      <c r="J16" s="13"/>
      <c r="K16" s="13"/>
      <c r="L16" s="13"/>
      <c r="M16" s="13"/>
      <c r="N16" s="13"/>
      <c r="O16" s="13"/>
    </row>
    <row r="17" s="8" customFormat="1" ht="20" customHeight="1" spans="1:15">
      <c r="A17" s="13">
        <v>13</v>
      </c>
      <c r="B17" s="13">
        <v>20230805107</v>
      </c>
      <c r="C17" s="13" t="s">
        <v>374</v>
      </c>
      <c r="D17" s="13">
        <v>95.1538461538462</v>
      </c>
      <c r="E17" s="13">
        <v>80.45</v>
      </c>
      <c r="F17" s="13">
        <v>86</v>
      </c>
      <c r="G17" s="13"/>
      <c r="H17" s="13"/>
      <c r="I17" s="13">
        <f t="shared" si="0"/>
        <v>85.4161538461539</v>
      </c>
      <c r="J17" s="13"/>
      <c r="K17" s="13"/>
      <c r="L17" s="13"/>
      <c r="M17" s="13"/>
      <c r="N17" s="13"/>
      <c r="O17" s="13"/>
    </row>
    <row r="18" s="8" customFormat="1" ht="20" customHeight="1" spans="1:15">
      <c r="A18" s="13">
        <v>14</v>
      </c>
      <c r="B18" s="13">
        <v>20230805132</v>
      </c>
      <c r="C18" s="13" t="s">
        <v>375</v>
      </c>
      <c r="D18" s="13">
        <v>95.4615384615385</v>
      </c>
      <c r="E18" s="13">
        <v>81</v>
      </c>
      <c r="F18" s="13">
        <v>88.25</v>
      </c>
      <c r="G18" s="13"/>
      <c r="H18" s="13">
        <v>1</v>
      </c>
      <c r="I18" s="13">
        <f t="shared" si="0"/>
        <v>85.0634615384616</v>
      </c>
      <c r="J18" s="13"/>
      <c r="K18" s="13"/>
      <c r="L18" s="13"/>
      <c r="M18" s="13"/>
      <c r="N18" s="13"/>
      <c r="O18" s="13"/>
    </row>
    <row r="19" s="8" customFormat="1" ht="20" customHeight="1" spans="1:15">
      <c r="A19" s="13">
        <v>15</v>
      </c>
      <c r="B19" s="13">
        <v>20230805134</v>
      </c>
      <c r="C19" s="13" t="s">
        <v>376</v>
      </c>
      <c r="D19" s="13">
        <v>95.2820512820513</v>
      </c>
      <c r="E19" s="13">
        <v>79.91</v>
      </c>
      <c r="F19" s="13">
        <v>84.25</v>
      </c>
      <c r="G19" s="13"/>
      <c r="H19" s="13"/>
      <c r="I19" s="13">
        <f t="shared" si="0"/>
        <v>84.9556153846154</v>
      </c>
      <c r="J19" s="13"/>
      <c r="K19" s="13"/>
      <c r="L19" s="13"/>
      <c r="M19" s="13"/>
      <c r="N19" s="13"/>
      <c r="O19" s="13"/>
    </row>
    <row r="20" s="8" customFormat="1" ht="20" customHeight="1" spans="1:15">
      <c r="A20" s="13">
        <v>16</v>
      </c>
      <c r="B20" s="13">
        <v>20230805110</v>
      </c>
      <c r="C20" s="13" t="s">
        <v>377</v>
      </c>
      <c r="D20" s="13">
        <v>95.4871794871795</v>
      </c>
      <c r="E20" s="13">
        <v>81.27</v>
      </c>
      <c r="F20" s="13">
        <v>85</v>
      </c>
      <c r="G20" s="13"/>
      <c r="H20" s="13">
        <v>1</v>
      </c>
      <c r="I20" s="13">
        <f t="shared" si="0"/>
        <v>84.9081538461539</v>
      </c>
      <c r="J20" s="13"/>
      <c r="K20" s="13"/>
      <c r="L20" s="13"/>
      <c r="M20" s="13"/>
      <c r="N20" s="13"/>
      <c r="O20" s="13"/>
    </row>
    <row r="21" s="8" customFormat="1" ht="20" customHeight="1" spans="1:15">
      <c r="A21" s="14">
        <v>17</v>
      </c>
      <c r="B21" s="14">
        <v>20230805113</v>
      </c>
      <c r="C21" s="14" t="s">
        <v>378</v>
      </c>
      <c r="D21" s="14">
        <v>95.0512820512821</v>
      </c>
      <c r="E21" s="14">
        <v>78.64</v>
      </c>
      <c r="F21" s="14">
        <v>86.75</v>
      </c>
      <c r="G21" s="14"/>
      <c r="H21" s="14"/>
      <c r="I21" s="14">
        <f t="shared" si="0"/>
        <v>84.3743846153846</v>
      </c>
      <c r="J21" s="14"/>
      <c r="K21" s="14"/>
      <c r="L21" s="14"/>
      <c r="M21" s="14"/>
      <c r="N21" s="14"/>
      <c r="O21" s="14"/>
    </row>
    <row r="22" s="8" customFormat="1" ht="20" customHeight="1" spans="1:15">
      <c r="A22" s="14">
        <v>18</v>
      </c>
      <c r="B22" s="14">
        <v>20230805118</v>
      </c>
      <c r="C22" s="14" t="s">
        <v>379</v>
      </c>
      <c r="D22" s="14">
        <v>95.2307692307692</v>
      </c>
      <c r="E22" s="14">
        <v>77.36</v>
      </c>
      <c r="F22" s="14">
        <v>90.5</v>
      </c>
      <c r="G22" s="14"/>
      <c r="H22" s="14">
        <v>1</v>
      </c>
      <c r="I22" s="14">
        <f t="shared" si="0"/>
        <v>83.0352307692308</v>
      </c>
      <c r="J22" s="14"/>
      <c r="K22" s="14"/>
      <c r="L22" s="14"/>
      <c r="M22" s="14"/>
      <c r="N22" s="14"/>
      <c r="O22" s="14"/>
    </row>
    <row r="23" s="8" customFormat="1" ht="20" customHeight="1" spans="1:15">
      <c r="A23" s="14">
        <v>19</v>
      </c>
      <c r="B23" s="14">
        <v>20230805104</v>
      </c>
      <c r="C23" s="14" t="s">
        <v>380</v>
      </c>
      <c r="D23" s="14">
        <v>95.5897435897436</v>
      </c>
      <c r="E23" s="14">
        <v>78</v>
      </c>
      <c r="F23" s="14">
        <v>83.25</v>
      </c>
      <c r="G23" s="14"/>
      <c r="H23" s="14">
        <v>1</v>
      </c>
      <c r="I23" s="14">
        <f t="shared" si="0"/>
        <v>82.8019230769231</v>
      </c>
      <c r="J23" s="14"/>
      <c r="K23" s="14"/>
      <c r="L23" s="14"/>
      <c r="M23" s="14"/>
      <c r="N23" s="14"/>
      <c r="O23" s="14"/>
    </row>
    <row r="24" s="8" customFormat="1" ht="20" customHeight="1" spans="1:15">
      <c r="A24" s="14">
        <v>20</v>
      </c>
      <c r="B24" s="14">
        <v>20230805122</v>
      </c>
      <c r="C24" s="14" t="s">
        <v>381</v>
      </c>
      <c r="D24" s="14">
        <v>95.1538461538462</v>
      </c>
      <c r="E24" s="14">
        <v>79.27</v>
      </c>
      <c r="F24" s="14">
        <v>83.25</v>
      </c>
      <c r="G24" s="14"/>
      <c r="H24" s="14">
        <v>2</v>
      </c>
      <c r="I24" s="14">
        <f t="shared" si="0"/>
        <v>82.4331538461539</v>
      </c>
      <c r="J24" s="14"/>
      <c r="K24" s="14"/>
      <c r="L24" s="14"/>
      <c r="M24" s="14"/>
      <c r="N24" s="14"/>
      <c r="O24" s="14"/>
    </row>
    <row r="25" s="8" customFormat="1" ht="20" customHeight="1" spans="1:15">
      <c r="A25" s="14">
        <v>21</v>
      </c>
      <c r="B25" s="14">
        <v>20230805124</v>
      </c>
      <c r="C25" s="14" t="s">
        <v>382</v>
      </c>
      <c r="D25" s="14">
        <v>95.1794871794872</v>
      </c>
      <c r="E25" s="14">
        <v>75.91</v>
      </c>
      <c r="F25" s="14">
        <v>82.75</v>
      </c>
      <c r="G25" s="14"/>
      <c r="H25" s="14"/>
      <c r="I25" s="14">
        <f t="shared" si="0"/>
        <v>82.3748461538462</v>
      </c>
      <c r="J25" s="14"/>
      <c r="K25" s="14"/>
      <c r="L25" s="14"/>
      <c r="M25" s="14"/>
      <c r="N25" s="14"/>
      <c r="O25" s="14"/>
    </row>
    <row r="26" s="8" customFormat="1" ht="20" customHeight="1" spans="1:15">
      <c r="A26" s="14">
        <v>22</v>
      </c>
      <c r="B26" s="14">
        <v>20230805125</v>
      </c>
      <c r="C26" s="14" t="s">
        <v>383</v>
      </c>
      <c r="D26" s="14">
        <v>95.2051282051282</v>
      </c>
      <c r="E26" s="14">
        <v>76.45</v>
      </c>
      <c r="F26" s="14">
        <v>86.75</v>
      </c>
      <c r="G26" s="14"/>
      <c r="H26" s="14">
        <v>1</v>
      </c>
      <c r="I26" s="14">
        <f t="shared" si="0"/>
        <v>82.1065384615384</v>
      </c>
      <c r="J26" s="14"/>
      <c r="K26" s="14"/>
      <c r="L26" s="14"/>
      <c r="M26" s="14"/>
      <c r="N26" s="14"/>
      <c r="O26" s="14"/>
    </row>
    <row r="27" s="8" customFormat="1" ht="20" customHeight="1" spans="1:15">
      <c r="A27" s="14">
        <v>23</v>
      </c>
      <c r="B27" s="14">
        <v>20230805137</v>
      </c>
      <c r="C27" s="14" t="s">
        <v>384</v>
      </c>
      <c r="D27" s="14">
        <v>95.3076923076923</v>
      </c>
      <c r="E27" s="14">
        <v>76.18</v>
      </c>
      <c r="F27" s="14">
        <v>86.5</v>
      </c>
      <c r="G27" s="14"/>
      <c r="H27" s="14">
        <v>1</v>
      </c>
      <c r="I27" s="14">
        <f t="shared" si="0"/>
        <v>81.9503076923077</v>
      </c>
      <c r="J27" s="14"/>
      <c r="K27" s="14"/>
      <c r="L27" s="14"/>
      <c r="M27" s="14"/>
      <c r="N27" s="14"/>
      <c r="O27" s="14"/>
    </row>
    <row r="28" s="8" customFormat="1" ht="20" customHeight="1" spans="1:15">
      <c r="A28" s="14">
        <v>24</v>
      </c>
      <c r="B28" s="14">
        <v>20230805111</v>
      </c>
      <c r="C28" s="14" t="s">
        <v>385</v>
      </c>
      <c r="D28" s="14">
        <v>95.3589743589744</v>
      </c>
      <c r="E28" s="14">
        <v>76.73</v>
      </c>
      <c r="F28" s="14">
        <v>81.5</v>
      </c>
      <c r="G28" s="14"/>
      <c r="H28" s="14">
        <v>1</v>
      </c>
      <c r="I28" s="14">
        <f t="shared" si="0"/>
        <v>81.7956923076923</v>
      </c>
      <c r="J28" s="14"/>
      <c r="K28" s="14"/>
      <c r="L28" s="14"/>
      <c r="M28" s="14"/>
      <c r="N28" s="14"/>
      <c r="O28" s="14"/>
    </row>
    <row r="29" s="8" customFormat="1" ht="20" customHeight="1" spans="1:15">
      <c r="A29" s="14">
        <v>25</v>
      </c>
      <c r="B29" s="14">
        <v>20230805127</v>
      </c>
      <c r="C29" s="14" t="s">
        <v>386</v>
      </c>
      <c r="D29" s="14">
        <v>95.4871794871795</v>
      </c>
      <c r="E29" s="14">
        <v>71.45</v>
      </c>
      <c r="F29" s="14">
        <v>90</v>
      </c>
      <c r="G29" s="14"/>
      <c r="H29" s="14"/>
      <c r="I29" s="14">
        <f t="shared" si="0"/>
        <v>80.5161538461539</v>
      </c>
      <c r="J29" s="14"/>
      <c r="K29" s="14"/>
      <c r="L29" s="14"/>
      <c r="M29" s="14"/>
      <c r="N29" s="14"/>
      <c r="O29" s="14"/>
    </row>
    <row r="30" s="8" customFormat="1" ht="20" customHeight="1" spans="1:15">
      <c r="A30" s="14">
        <v>26</v>
      </c>
      <c r="B30" s="14">
        <v>20230805109</v>
      </c>
      <c r="C30" s="14" t="s">
        <v>387</v>
      </c>
      <c r="D30" s="14">
        <v>95.4102564102564</v>
      </c>
      <c r="E30" s="14">
        <v>77.09</v>
      </c>
      <c r="F30" s="14">
        <v>83</v>
      </c>
      <c r="G30" s="14"/>
      <c r="H30" s="14">
        <v>3</v>
      </c>
      <c r="I30" s="14">
        <f t="shared" si="0"/>
        <v>80.1770769230769</v>
      </c>
      <c r="J30" s="14"/>
      <c r="K30" s="14"/>
      <c r="L30" s="14"/>
      <c r="M30" s="14"/>
      <c r="N30" s="14"/>
      <c r="O30" s="14"/>
    </row>
    <row r="31" s="8" customFormat="1" ht="20" customHeight="1" spans="1:15">
      <c r="A31" s="14">
        <v>27</v>
      </c>
      <c r="B31" s="14">
        <v>20230805138</v>
      </c>
      <c r="C31" s="14" t="s">
        <v>388</v>
      </c>
      <c r="D31" s="14">
        <v>95.3076923076923</v>
      </c>
      <c r="E31" s="14">
        <v>76.18</v>
      </c>
      <c r="F31" s="14">
        <v>78.25</v>
      </c>
      <c r="G31" s="14"/>
      <c r="H31" s="14">
        <v>2</v>
      </c>
      <c r="I31" s="14">
        <f t="shared" si="0"/>
        <v>80.1253076923077</v>
      </c>
      <c r="J31" s="14"/>
      <c r="K31" s="14"/>
      <c r="L31" s="14"/>
      <c r="M31" s="14"/>
      <c r="N31" s="14"/>
      <c r="O31" s="14"/>
    </row>
    <row r="32" s="8" customFormat="1" ht="20" customHeight="1" spans="1:15">
      <c r="A32" s="14">
        <v>28</v>
      </c>
      <c r="B32" s="14">
        <v>20230805120</v>
      </c>
      <c r="C32" s="14" t="s">
        <v>389</v>
      </c>
      <c r="D32" s="14">
        <v>95.2564102564103</v>
      </c>
      <c r="E32" s="14">
        <v>71.91</v>
      </c>
      <c r="F32" s="14">
        <v>81.5</v>
      </c>
      <c r="G32" s="14"/>
      <c r="H32" s="14">
        <v>2</v>
      </c>
      <c r="I32" s="14">
        <f t="shared" si="0"/>
        <v>77.8729230769231</v>
      </c>
      <c r="J32" s="14"/>
      <c r="K32" s="14"/>
      <c r="L32" s="14"/>
      <c r="M32" s="14"/>
      <c r="N32" s="14"/>
      <c r="O32" s="14"/>
    </row>
    <row r="33" s="8" customFormat="1" ht="20" customHeight="1" spans="1:15">
      <c r="A33" s="14">
        <v>29</v>
      </c>
      <c r="B33" s="14">
        <v>20230805116</v>
      </c>
      <c r="C33" s="14" t="s">
        <v>390</v>
      </c>
      <c r="D33" s="14">
        <v>95.0769230769231</v>
      </c>
      <c r="E33" s="14">
        <v>71.91</v>
      </c>
      <c r="F33" s="14">
        <v>73.25</v>
      </c>
      <c r="G33" s="14"/>
      <c r="H33" s="14">
        <v>3</v>
      </c>
      <c r="I33" s="14">
        <f t="shared" si="0"/>
        <v>75.9940769230769</v>
      </c>
      <c r="J33" s="14"/>
      <c r="K33" s="14"/>
      <c r="L33" s="14"/>
      <c r="M33" s="14"/>
      <c r="N33" s="14"/>
      <c r="O33" s="14"/>
    </row>
    <row r="34" s="8" customFormat="1" ht="20" customHeight="1" spans="1:15">
      <c r="A34" s="14">
        <v>30</v>
      </c>
      <c r="B34" s="14">
        <v>20230805123</v>
      </c>
      <c r="C34" s="14" t="s">
        <v>391</v>
      </c>
      <c r="D34" s="14">
        <v>94.8205128205128</v>
      </c>
      <c r="E34" s="14">
        <v>74.64</v>
      </c>
      <c r="F34" s="14">
        <v>86.75</v>
      </c>
      <c r="G34" s="14"/>
      <c r="H34" s="14">
        <v>6</v>
      </c>
      <c r="I34" s="14">
        <f t="shared" si="0"/>
        <v>75.9051538461538</v>
      </c>
      <c r="J34" s="14"/>
      <c r="K34" s="14"/>
      <c r="L34" s="14"/>
      <c r="M34" s="14"/>
      <c r="N34" s="14"/>
      <c r="O34" s="14"/>
    </row>
    <row r="35" s="8" customFormat="1" ht="20" customHeight="1" spans="1:15">
      <c r="A35" s="14">
        <v>31</v>
      </c>
      <c r="B35" s="14">
        <v>20230805108</v>
      </c>
      <c r="C35" s="14" t="s">
        <v>392</v>
      </c>
      <c r="D35" s="14">
        <v>95.4615384615385</v>
      </c>
      <c r="E35" s="14">
        <v>75.73</v>
      </c>
      <c r="F35" s="14">
        <v>80.25</v>
      </c>
      <c r="G35" s="14"/>
      <c r="H35" s="14">
        <v>8</v>
      </c>
      <c r="I35" s="14">
        <f t="shared" si="0"/>
        <v>74.1014615384616</v>
      </c>
      <c r="J35" s="14"/>
      <c r="K35" s="14"/>
      <c r="L35" s="14"/>
      <c r="M35" s="14"/>
      <c r="N35" s="14"/>
      <c r="O35" s="14"/>
    </row>
    <row r="36" s="8" customFormat="1" ht="20" customHeight="1" spans="1:15">
      <c r="A36" s="14">
        <v>32</v>
      </c>
      <c r="B36" s="14">
        <v>20230805126</v>
      </c>
      <c r="C36" s="14" t="s">
        <v>393</v>
      </c>
      <c r="D36" s="14">
        <v>95.4358974358974</v>
      </c>
      <c r="E36" s="14">
        <v>70.73</v>
      </c>
      <c r="F36" s="14">
        <v>88.5</v>
      </c>
      <c r="G36" s="14"/>
      <c r="H36" s="14">
        <v>7</v>
      </c>
      <c r="I36" s="14">
        <f t="shared" si="0"/>
        <v>72.9187692307692</v>
      </c>
      <c r="J36" s="14"/>
      <c r="K36" s="14"/>
      <c r="L36" s="14"/>
      <c r="M36" s="14"/>
      <c r="N36" s="14"/>
      <c r="O36" s="14"/>
    </row>
    <row r="37" s="8" customFormat="1" ht="20" customHeight="1" spans="1:15">
      <c r="A37" s="14">
        <v>33</v>
      </c>
      <c r="B37" s="14">
        <v>20230805102</v>
      </c>
      <c r="C37" s="14" t="s">
        <v>394</v>
      </c>
      <c r="D37" s="14">
        <v>95.025641025641</v>
      </c>
      <c r="E37" s="14">
        <v>73.36</v>
      </c>
      <c r="F37" s="14">
        <v>73.25</v>
      </c>
      <c r="G37" s="14"/>
      <c r="H37" s="14">
        <v>7</v>
      </c>
      <c r="I37" s="14">
        <f t="shared" si="0"/>
        <v>72.8486923076923</v>
      </c>
      <c r="J37" s="14"/>
      <c r="K37" s="14"/>
      <c r="L37" s="14"/>
      <c r="M37" s="14"/>
      <c r="N37" s="14"/>
      <c r="O37" s="14"/>
    </row>
    <row r="38" s="8" customFormat="1" ht="20" customHeight="1" spans="1:15">
      <c r="A38" s="14">
        <v>34</v>
      </c>
      <c r="B38" s="14" t="s">
        <v>395</v>
      </c>
      <c r="C38" s="14" t="s">
        <v>396</v>
      </c>
      <c r="D38" s="14">
        <v>95.0512820512821</v>
      </c>
      <c r="E38" s="14">
        <v>71.91</v>
      </c>
      <c r="F38" s="14">
        <v>88.25</v>
      </c>
      <c r="G38" s="14"/>
      <c r="H38" s="14">
        <v>8</v>
      </c>
      <c r="I38" s="14">
        <f t="shared" si="0"/>
        <v>72.4863846153846</v>
      </c>
      <c r="J38" s="14"/>
      <c r="K38" s="14"/>
      <c r="L38" s="14"/>
      <c r="M38" s="14"/>
      <c r="N38" s="14"/>
      <c r="O38" s="14"/>
    </row>
    <row r="39" s="8" customFormat="1" ht="20" customHeight="1" spans="1:15">
      <c r="A39" s="14">
        <v>35</v>
      </c>
      <c r="B39" s="14">
        <v>20230805130</v>
      </c>
      <c r="C39" s="14" t="s">
        <v>397</v>
      </c>
      <c r="D39" s="14">
        <v>95.0512820512821</v>
      </c>
      <c r="E39" s="14">
        <v>70.36</v>
      </c>
      <c r="F39" s="14">
        <v>76.5</v>
      </c>
      <c r="G39" s="14"/>
      <c r="H39" s="14">
        <v>8</v>
      </c>
      <c r="I39" s="14">
        <f t="shared" si="0"/>
        <v>70.3813846153846</v>
      </c>
      <c r="J39" s="14"/>
      <c r="K39" s="14"/>
      <c r="L39" s="14"/>
      <c r="M39" s="14"/>
      <c r="N39" s="14"/>
      <c r="O39" s="14"/>
    </row>
    <row r="40" s="8" customFormat="1" ht="20" customHeight="1" spans="1:15">
      <c r="A40" s="14">
        <v>36</v>
      </c>
      <c r="B40" s="14">
        <v>20230805140</v>
      </c>
      <c r="C40" s="14" t="s">
        <v>398</v>
      </c>
      <c r="D40" s="14">
        <v>95.0769230769231</v>
      </c>
      <c r="E40" s="14">
        <v>73.45</v>
      </c>
      <c r="F40" s="14">
        <v>87.75</v>
      </c>
      <c r="G40" s="14"/>
      <c r="H40" s="14">
        <v>14</v>
      </c>
      <c r="I40" s="14">
        <f t="shared" si="0"/>
        <v>67.3680769230769</v>
      </c>
      <c r="J40" s="14"/>
      <c r="K40" s="14"/>
      <c r="L40" s="14"/>
      <c r="M40" s="14"/>
      <c r="N40" s="14"/>
      <c r="O40" s="14"/>
    </row>
    <row r="41" s="8" customFormat="1" ht="20" customHeight="1" spans="1:15">
      <c r="A41" s="14">
        <v>37</v>
      </c>
      <c r="B41" s="14">
        <v>20230805119</v>
      </c>
      <c r="C41" s="14" t="s">
        <v>399</v>
      </c>
      <c r="D41" s="14">
        <v>95.2307692307692</v>
      </c>
      <c r="E41" s="14">
        <v>70.64</v>
      </c>
      <c r="F41" s="14">
        <v>81.25</v>
      </c>
      <c r="G41" s="14"/>
      <c r="H41" s="14">
        <v>14</v>
      </c>
      <c r="I41" s="14">
        <f t="shared" si="0"/>
        <v>65.0782307692308</v>
      </c>
      <c r="J41" s="14"/>
      <c r="K41" s="14"/>
      <c r="L41" s="14"/>
      <c r="M41" s="14"/>
      <c r="N41" s="14"/>
      <c r="O41" s="14"/>
    </row>
    <row r="42" s="8" customFormat="1" ht="20" customHeight="1" spans="1:15">
      <c r="A42" s="14">
        <v>38</v>
      </c>
      <c r="B42" s="14">
        <v>20230805115</v>
      </c>
      <c r="C42" s="14" t="s">
        <v>400</v>
      </c>
      <c r="D42" s="14">
        <v>94.7435897435897</v>
      </c>
      <c r="E42" s="14">
        <v>69.82</v>
      </c>
      <c r="F42" s="14">
        <v>77.75</v>
      </c>
      <c r="G42" s="14"/>
      <c r="H42" s="14">
        <v>19</v>
      </c>
      <c r="I42" s="14">
        <f t="shared" si="0"/>
        <v>59.0900769230769</v>
      </c>
      <c r="J42" s="14"/>
      <c r="K42" s="14"/>
      <c r="L42" s="14"/>
      <c r="M42" s="14"/>
      <c r="N42" s="14"/>
      <c r="O42" s="14"/>
    </row>
    <row r="43" s="8" customFormat="1" ht="20" customHeight="1" spans="1:15">
      <c r="A43" s="14">
        <v>39</v>
      </c>
      <c r="B43" s="14">
        <v>20230805135</v>
      </c>
      <c r="C43" s="14" t="s">
        <v>401</v>
      </c>
      <c r="D43" s="14">
        <v>94.7179487179487</v>
      </c>
      <c r="E43" s="14">
        <v>64.18</v>
      </c>
      <c r="F43" s="14">
        <v>47.75</v>
      </c>
      <c r="G43" s="14"/>
      <c r="H43" s="14">
        <v>13</v>
      </c>
      <c r="I43" s="14">
        <f t="shared" si="0"/>
        <v>58.6983846153846</v>
      </c>
      <c r="J43" s="14"/>
      <c r="K43" s="14"/>
      <c r="L43" s="14"/>
      <c r="M43" s="14"/>
      <c r="N43" s="14"/>
      <c r="O43" s="14"/>
    </row>
    <row r="44" s="8" customFormat="1" ht="20" customHeight="1" spans="1:15">
      <c r="A44" s="14">
        <v>40</v>
      </c>
      <c r="B44" s="14">
        <v>20230816109</v>
      </c>
      <c r="C44" s="14" t="s">
        <v>402</v>
      </c>
      <c r="D44" s="14">
        <v>94.0769230769231</v>
      </c>
      <c r="E44" s="14">
        <v>69.91</v>
      </c>
      <c r="F44" s="14">
        <v>77.5</v>
      </c>
      <c r="G44" s="14"/>
      <c r="H44" s="14">
        <v>30</v>
      </c>
      <c r="I44" s="14">
        <f t="shared" si="0"/>
        <v>47.9190769230769</v>
      </c>
      <c r="J44" s="14"/>
      <c r="K44" s="14"/>
      <c r="L44" s="14"/>
      <c r="M44" s="14"/>
      <c r="N44" s="14"/>
      <c r="O44" s="14"/>
    </row>
    <row r="45" spans="1:15">
      <c r="A45" s="19" t="s">
        <v>119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</row>
  </sheetData>
  <mergeCells count="4">
    <mergeCell ref="A1:O1"/>
    <mergeCell ref="A2:O2"/>
    <mergeCell ref="A3:O3"/>
    <mergeCell ref="A45:O45"/>
  </mergeCells>
  <pageMargins left="0.7" right="0.7" top="0.75" bottom="0.75" header="0.3" footer="0.3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"/>
  <sheetViews>
    <sheetView workbookViewId="0">
      <selection activeCell="A3" sqref="A3:O3"/>
    </sheetView>
  </sheetViews>
  <sheetFormatPr defaultColWidth="9" defaultRowHeight="16.8"/>
  <cols>
    <col min="2" max="2" width="16.1826923076923" customWidth="1"/>
    <col min="4" max="4" width="12.6634615384615" customWidth="1"/>
    <col min="5" max="5" width="13.7788461538462" customWidth="1"/>
    <col min="6" max="6" width="14.4230769230769" customWidth="1"/>
    <col min="7" max="7" width="13.9423076923077" customWidth="1"/>
    <col min="8" max="8" width="11.6923076923077" customWidth="1"/>
    <col min="9" max="9" width="18.75" customWidth="1"/>
  </cols>
  <sheetData>
    <row r="1" spans="1:1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ht="35" customHeight="1" spans="1:1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ht="26" customHeight="1" spans="1:15">
      <c r="A3" s="18" t="s">
        <v>403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ht="74" customHeight="1" spans="1:15">
      <c r="A4" s="1" t="s">
        <v>3</v>
      </c>
      <c r="B4" s="47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</row>
    <row r="5" s="8" customFormat="1" ht="20" customHeight="1" spans="1:15">
      <c r="A5" s="13">
        <v>1</v>
      </c>
      <c r="B5" s="13" t="s">
        <v>404</v>
      </c>
      <c r="C5" s="13" t="s">
        <v>405</v>
      </c>
      <c r="D5" s="13">
        <v>94.4054054054054</v>
      </c>
      <c r="E5" s="13">
        <v>87.7272727272727</v>
      </c>
      <c r="F5" s="13">
        <v>85.75</v>
      </c>
      <c r="G5" s="13">
        <v>5</v>
      </c>
      <c r="H5" s="13"/>
      <c r="I5" s="13">
        <f t="shared" ref="I5:I41" si="0">D5*0.3+E5*0.6+F5*0.1+G5-H5</f>
        <v>94.5329852579852</v>
      </c>
      <c r="J5" s="13"/>
      <c r="K5" s="13"/>
      <c r="L5" s="13"/>
      <c r="M5" s="13" t="s">
        <v>21</v>
      </c>
      <c r="N5" s="13" t="s">
        <v>21</v>
      </c>
      <c r="O5" s="13"/>
    </row>
    <row r="6" s="8" customFormat="1" ht="20" customHeight="1" spans="1:15">
      <c r="A6" s="13">
        <v>2</v>
      </c>
      <c r="B6" s="13" t="s">
        <v>406</v>
      </c>
      <c r="C6" s="13" t="s">
        <v>407</v>
      </c>
      <c r="D6" s="13">
        <v>94.0810810810811</v>
      </c>
      <c r="E6" s="13">
        <v>86.4545454545455</v>
      </c>
      <c r="F6" s="13">
        <v>93.75</v>
      </c>
      <c r="G6" s="13">
        <v>2</v>
      </c>
      <c r="H6" s="13"/>
      <c r="I6" s="13">
        <f t="shared" si="0"/>
        <v>91.4720515970516</v>
      </c>
      <c r="J6" s="13"/>
      <c r="K6" s="13"/>
      <c r="L6" s="13"/>
      <c r="M6" s="13"/>
      <c r="N6" s="13"/>
      <c r="O6" s="13"/>
    </row>
    <row r="7" s="8" customFormat="1" ht="20" customHeight="1" spans="1:15">
      <c r="A7" s="13">
        <v>3</v>
      </c>
      <c r="B7" s="13" t="s">
        <v>408</v>
      </c>
      <c r="C7" s="13" t="s">
        <v>409</v>
      </c>
      <c r="D7" s="13">
        <v>94.0810810810811</v>
      </c>
      <c r="E7" s="13">
        <v>84.9090909090909</v>
      </c>
      <c r="F7" s="13">
        <v>82.5</v>
      </c>
      <c r="G7" s="13">
        <v>4</v>
      </c>
      <c r="H7" s="13"/>
      <c r="I7" s="13">
        <f t="shared" si="0"/>
        <v>91.4197788697789</v>
      </c>
      <c r="J7" s="13"/>
      <c r="K7" s="13"/>
      <c r="L7" s="13"/>
      <c r="M7" s="13"/>
      <c r="N7" s="13"/>
      <c r="O7" s="13" t="s">
        <v>21</v>
      </c>
    </row>
    <row r="8" s="8" customFormat="1" ht="20" customHeight="1" spans="1:15">
      <c r="A8" s="13">
        <v>4</v>
      </c>
      <c r="B8" s="13" t="s">
        <v>410</v>
      </c>
      <c r="C8" s="13" t="s">
        <v>411</v>
      </c>
      <c r="D8" s="13">
        <v>94.2702702702703</v>
      </c>
      <c r="E8" s="13">
        <v>90.3636363636364</v>
      </c>
      <c r="F8" s="13">
        <v>88.75</v>
      </c>
      <c r="G8" s="13"/>
      <c r="H8" s="13"/>
      <c r="I8" s="13">
        <f t="shared" si="0"/>
        <v>91.3742628992629</v>
      </c>
      <c r="J8" s="13"/>
      <c r="K8" s="13"/>
      <c r="L8" s="13"/>
      <c r="M8" s="13"/>
      <c r="N8" s="13"/>
      <c r="O8" s="13"/>
    </row>
    <row r="9" s="8" customFormat="1" ht="20" customHeight="1" spans="1:15">
      <c r="A9" s="13">
        <v>5</v>
      </c>
      <c r="B9" s="13" t="s">
        <v>412</v>
      </c>
      <c r="C9" s="13" t="s">
        <v>413</v>
      </c>
      <c r="D9" s="13">
        <v>93.2162162162162</v>
      </c>
      <c r="E9" s="13">
        <v>86.9090909090909</v>
      </c>
      <c r="F9" s="13">
        <v>87.25</v>
      </c>
      <c r="G9" s="13">
        <v>2</v>
      </c>
      <c r="H9" s="13"/>
      <c r="I9" s="13">
        <f t="shared" si="0"/>
        <v>90.8353194103194</v>
      </c>
      <c r="J9" s="13"/>
      <c r="K9" s="13"/>
      <c r="L9" s="13"/>
      <c r="M9" s="13"/>
      <c r="N9" s="13"/>
      <c r="O9" s="13"/>
    </row>
    <row r="10" s="8" customFormat="1" ht="20" customHeight="1" spans="1:15">
      <c r="A10" s="13">
        <v>6</v>
      </c>
      <c r="B10" s="13" t="s">
        <v>414</v>
      </c>
      <c r="C10" s="13" t="s">
        <v>415</v>
      </c>
      <c r="D10" s="13">
        <v>93</v>
      </c>
      <c r="E10" s="13">
        <v>88.2727272727273</v>
      </c>
      <c r="F10" s="13">
        <v>87</v>
      </c>
      <c r="G10" s="13"/>
      <c r="H10" s="13"/>
      <c r="I10" s="13">
        <f t="shared" si="0"/>
        <v>89.5636363636364</v>
      </c>
      <c r="J10" s="13"/>
      <c r="K10" s="13"/>
      <c r="L10" s="13"/>
      <c r="M10" s="13"/>
      <c r="N10" s="13"/>
      <c r="O10" s="13"/>
    </row>
    <row r="11" s="8" customFormat="1" ht="20" customHeight="1" spans="1:15">
      <c r="A11" s="13">
        <v>7</v>
      </c>
      <c r="B11" s="13" t="s">
        <v>416</v>
      </c>
      <c r="C11" s="13" t="s">
        <v>417</v>
      </c>
      <c r="D11" s="13">
        <v>90.4324324324324</v>
      </c>
      <c r="E11" s="13">
        <v>85.8181818181818</v>
      </c>
      <c r="F11" s="13">
        <v>88.25</v>
      </c>
      <c r="G11" s="13">
        <v>1</v>
      </c>
      <c r="H11" s="13"/>
      <c r="I11" s="13">
        <f t="shared" si="0"/>
        <v>88.4456388206388</v>
      </c>
      <c r="J11" s="13"/>
      <c r="K11" s="13"/>
      <c r="L11" s="13"/>
      <c r="M11" s="13"/>
      <c r="N11" s="13" t="s">
        <v>21</v>
      </c>
      <c r="O11" s="13"/>
    </row>
    <row r="12" s="8" customFormat="1" ht="20" customHeight="1" spans="1:15">
      <c r="A12" s="13">
        <v>8</v>
      </c>
      <c r="B12" s="13" t="s">
        <v>418</v>
      </c>
      <c r="C12" s="13" t="s">
        <v>419</v>
      </c>
      <c r="D12" s="13">
        <v>89.9189189189189</v>
      </c>
      <c r="E12" s="13">
        <v>87.2727272727273</v>
      </c>
      <c r="F12" s="13">
        <v>87.5</v>
      </c>
      <c r="G12" s="13"/>
      <c r="H12" s="13"/>
      <c r="I12" s="13">
        <f t="shared" si="0"/>
        <v>88.089312039312</v>
      </c>
      <c r="J12" s="13"/>
      <c r="K12" s="13"/>
      <c r="L12" s="13"/>
      <c r="M12" s="13" t="s">
        <v>21</v>
      </c>
      <c r="N12" s="13" t="s">
        <v>21</v>
      </c>
      <c r="O12" s="13"/>
    </row>
    <row r="13" s="8" customFormat="1" ht="20" customHeight="1" spans="1:15">
      <c r="A13" s="13">
        <v>9</v>
      </c>
      <c r="B13" s="13" t="s">
        <v>420</v>
      </c>
      <c r="C13" s="13" t="s">
        <v>421</v>
      </c>
      <c r="D13" s="13">
        <v>94.2702702702703</v>
      </c>
      <c r="E13" s="13">
        <v>80.4545454545455</v>
      </c>
      <c r="F13" s="13">
        <v>87.75</v>
      </c>
      <c r="G13" s="13">
        <v>2</v>
      </c>
      <c r="H13" s="13"/>
      <c r="I13" s="13">
        <f t="shared" si="0"/>
        <v>87.3288083538084</v>
      </c>
      <c r="J13" s="13"/>
      <c r="K13" s="13"/>
      <c r="L13" s="13"/>
      <c r="M13" s="13"/>
      <c r="N13" s="13"/>
      <c r="O13" s="13"/>
    </row>
    <row r="14" s="8" customFormat="1" ht="20" customHeight="1" spans="1:15">
      <c r="A14" s="13">
        <v>10</v>
      </c>
      <c r="B14" s="13" t="s">
        <v>422</v>
      </c>
      <c r="C14" s="13" t="s">
        <v>423</v>
      </c>
      <c r="D14" s="13">
        <v>92.5135135135135</v>
      </c>
      <c r="E14" s="13">
        <v>81.3636363636364</v>
      </c>
      <c r="F14" s="13">
        <v>90.5</v>
      </c>
      <c r="G14" s="13">
        <v>1</v>
      </c>
      <c r="H14" s="13"/>
      <c r="I14" s="13">
        <f t="shared" si="0"/>
        <v>86.6222358722359</v>
      </c>
      <c r="J14" s="13"/>
      <c r="K14" s="13"/>
      <c r="L14" s="13"/>
      <c r="M14" s="13"/>
      <c r="N14" s="13"/>
      <c r="O14" s="13"/>
    </row>
    <row r="15" s="8" customFormat="1" ht="20" customHeight="1" spans="1:15">
      <c r="A15" s="13">
        <v>11</v>
      </c>
      <c r="B15" s="13" t="s">
        <v>424</v>
      </c>
      <c r="C15" s="13" t="s">
        <v>425</v>
      </c>
      <c r="D15" s="13">
        <v>92.4594594594595</v>
      </c>
      <c r="E15" s="13">
        <v>83.1818181818182</v>
      </c>
      <c r="F15" s="13">
        <v>87.75</v>
      </c>
      <c r="G15" s="13"/>
      <c r="H15" s="13"/>
      <c r="I15" s="13">
        <f t="shared" si="0"/>
        <v>86.4219287469288</v>
      </c>
      <c r="J15" s="13"/>
      <c r="K15" s="13"/>
      <c r="L15" s="13"/>
      <c r="M15" s="13"/>
      <c r="N15" s="13" t="s">
        <v>21</v>
      </c>
      <c r="O15" s="13"/>
    </row>
    <row r="16" s="8" customFormat="1" ht="20" customHeight="1" spans="1:15">
      <c r="A16" s="13">
        <v>12</v>
      </c>
      <c r="B16" s="13" t="s">
        <v>426</v>
      </c>
      <c r="C16" s="13" t="s">
        <v>427</v>
      </c>
      <c r="D16" s="13">
        <v>92.945945945946</v>
      </c>
      <c r="E16" s="13">
        <v>82.2727272727273</v>
      </c>
      <c r="F16" s="13">
        <v>87.75</v>
      </c>
      <c r="G16" s="13"/>
      <c r="H16" s="13"/>
      <c r="I16" s="13">
        <f t="shared" si="0"/>
        <v>86.0224201474202</v>
      </c>
      <c r="J16" s="13"/>
      <c r="K16" s="13"/>
      <c r="L16" s="13"/>
      <c r="M16" s="13"/>
      <c r="N16" s="13"/>
      <c r="O16" s="13"/>
    </row>
    <row r="17" s="8" customFormat="1" ht="20" customHeight="1" spans="1:15">
      <c r="A17" s="13">
        <v>13</v>
      </c>
      <c r="B17" s="13" t="s">
        <v>428</v>
      </c>
      <c r="C17" s="13" t="s">
        <v>429</v>
      </c>
      <c r="D17" s="13">
        <v>94.2162162162162</v>
      </c>
      <c r="E17" s="13">
        <v>84.4545454545455</v>
      </c>
      <c r="F17" s="13">
        <v>85.25</v>
      </c>
      <c r="G17" s="13"/>
      <c r="H17" s="13">
        <v>2</v>
      </c>
      <c r="I17" s="13">
        <f t="shared" si="0"/>
        <v>85.4625921375922</v>
      </c>
      <c r="J17" s="13"/>
      <c r="K17" s="13"/>
      <c r="L17" s="13"/>
      <c r="M17" s="13"/>
      <c r="N17" s="13"/>
      <c r="O17" s="13"/>
    </row>
    <row r="18" s="8" customFormat="1" ht="20" customHeight="1" spans="1:15">
      <c r="A18" s="13">
        <v>14</v>
      </c>
      <c r="B18" s="13" t="s">
        <v>430</v>
      </c>
      <c r="C18" s="13" t="s">
        <v>431</v>
      </c>
      <c r="D18" s="13">
        <v>93.3513513513514</v>
      </c>
      <c r="E18" s="13">
        <v>80.3636363636364</v>
      </c>
      <c r="F18" s="13">
        <v>85.5</v>
      </c>
      <c r="G18" s="13"/>
      <c r="H18" s="13"/>
      <c r="I18" s="13">
        <f t="shared" si="0"/>
        <v>84.7735872235873</v>
      </c>
      <c r="J18" s="13"/>
      <c r="K18" s="13"/>
      <c r="L18" s="13"/>
      <c r="M18" s="13"/>
      <c r="N18" s="13"/>
      <c r="O18" s="13"/>
    </row>
    <row r="19" s="8" customFormat="1" ht="20" customHeight="1" spans="1:15">
      <c r="A19" s="21">
        <v>15</v>
      </c>
      <c r="B19" s="21" t="s">
        <v>432</v>
      </c>
      <c r="C19" s="21" t="s">
        <v>433</v>
      </c>
      <c r="D19" s="21">
        <v>92.945945945946</v>
      </c>
      <c r="E19" s="21">
        <v>79</v>
      </c>
      <c r="F19" s="21">
        <v>85</v>
      </c>
      <c r="G19" s="21"/>
      <c r="H19" s="21"/>
      <c r="I19" s="21">
        <f t="shared" si="0"/>
        <v>83.7837837837838</v>
      </c>
      <c r="J19" s="21"/>
      <c r="K19" s="21"/>
      <c r="L19" s="21"/>
      <c r="M19" s="21"/>
      <c r="N19" s="21"/>
      <c r="O19" s="21"/>
    </row>
    <row r="20" s="8" customFormat="1" ht="20" customHeight="1" spans="1:15">
      <c r="A20" s="21">
        <v>16</v>
      </c>
      <c r="B20" s="14" t="s">
        <v>434</v>
      </c>
      <c r="C20" s="14" t="s">
        <v>435</v>
      </c>
      <c r="D20" s="14">
        <v>93.8108108108108</v>
      </c>
      <c r="E20" s="14">
        <v>81.5454545454545</v>
      </c>
      <c r="F20" s="14">
        <v>86</v>
      </c>
      <c r="G20" s="14"/>
      <c r="H20" s="14">
        <v>2</v>
      </c>
      <c r="I20" s="14">
        <f t="shared" si="0"/>
        <v>83.6705159705159</v>
      </c>
      <c r="J20" s="14"/>
      <c r="K20" s="14"/>
      <c r="L20" s="14"/>
      <c r="M20" s="14"/>
      <c r="N20" s="14"/>
      <c r="O20" s="14"/>
    </row>
    <row r="21" s="8" customFormat="1" ht="20" customHeight="1" spans="1:15">
      <c r="A21" s="21">
        <v>17</v>
      </c>
      <c r="B21" s="14" t="s">
        <v>436</v>
      </c>
      <c r="C21" s="14" t="s">
        <v>437</v>
      </c>
      <c r="D21" s="14">
        <v>93.5945945945946</v>
      </c>
      <c r="E21" s="14">
        <v>76.2727272727273</v>
      </c>
      <c r="F21" s="14">
        <v>84.5</v>
      </c>
      <c r="G21" s="14"/>
      <c r="H21" s="14"/>
      <c r="I21" s="14">
        <f t="shared" si="0"/>
        <v>82.2920147420148</v>
      </c>
      <c r="J21" s="14"/>
      <c r="K21" s="14"/>
      <c r="L21" s="14"/>
      <c r="M21" s="14"/>
      <c r="N21" s="14"/>
      <c r="O21" s="14"/>
    </row>
    <row r="22" s="8" customFormat="1" ht="20" customHeight="1" spans="1:15">
      <c r="A22" s="21">
        <v>18</v>
      </c>
      <c r="B22" s="14" t="s">
        <v>438</v>
      </c>
      <c r="C22" s="14" t="s">
        <v>439</v>
      </c>
      <c r="D22" s="14">
        <v>92.5945945945946</v>
      </c>
      <c r="E22" s="14">
        <v>79.7272727272727</v>
      </c>
      <c r="F22" s="14">
        <v>79.5</v>
      </c>
      <c r="G22" s="14"/>
      <c r="H22" s="14">
        <v>4</v>
      </c>
      <c r="I22" s="14">
        <f t="shared" si="0"/>
        <v>79.564742014742</v>
      </c>
      <c r="J22" s="14"/>
      <c r="K22" s="14"/>
      <c r="L22" s="14"/>
      <c r="M22" s="14"/>
      <c r="N22" s="14"/>
      <c r="O22" s="14"/>
    </row>
    <row r="23" s="8" customFormat="1" ht="20" customHeight="1" spans="1:15">
      <c r="A23" s="21">
        <v>19</v>
      </c>
      <c r="B23" s="14" t="s">
        <v>440</v>
      </c>
      <c r="C23" s="14" t="s">
        <v>441</v>
      </c>
      <c r="D23" s="14">
        <v>92.3783783783784</v>
      </c>
      <c r="E23" s="14">
        <v>80.1818181818182</v>
      </c>
      <c r="F23" s="14">
        <v>90.5</v>
      </c>
      <c r="G23" s="14">
        <v>0.5</v>
      </c>
      <c r="H23" s="14">
        <v>6</v>
      </c>
      <c r="I23" s="14">
        <f t="shared" si="0"/>
        <v>79.3726044226044</v>
      </c>
      <c r="J23" s="14"/>
      <c r="K23" s="14"/>
      <c r="L23" s="14"/>
      <c r="M23" s="14"/>
      <c r="N23" s="14"/>
      <c r="O23" s="14"/>
    </row>
    <row r="24" s="8" customFormat="1" ht="20" customHeight="1" spans="1:15">
      <c r="A24" s="21">
        <v>20</v>
      </c>
      <c r="B24" s="14" t="s">
        <v>442</v>
      </c>
      <c r="C24" s="14" t="s">
        <v>443</v>
      </c>
      <c r="D24" s="14">
        <v>88.7837837837838</v>
      </c>
      <c r="E24" s="14">
        <v>79.2727272727273</v>
      </c>
      <c r="F24" s="14">
        <v>85.75</v>
      </c>
      <c r="G24" s="14"/>
      <c r="H24" s="14">
        <v>4</v>
      </c>
      <c r="I24" s="14">
        <f t="shared" si="0"/>
        <v>78.7737714987715</v>
      </c>
      <c r="J24" s="14"/>
      <c r="K24" s="14"/>
      <c r="L24" s="14"/>
      <c r="M24" s="14"/>
      <c r="N24" s="14"/>
      <c r="O24" s="14"/>
    </row>
    <row r="25" s="8" customFormat="1" ht="20" customHeight="1" spans="1:15">
      <c r="A25" s="21">
        <v>21</v>
      </c>
      <c r="B25" s="14" t="s">
        <v>444</v>
      </c>
      <c r="C25" s="14" t="s">
        <v>445</v>
      </c>
      <c r="D25" s="14">
        <v>93.3243243243243</v>
      </c>
      <c r="E25" s="14">
        <v>76.3636363636364</v>
      </c>
      <c r="F25" s="14">
        <v>87.75</v>
      </c>
      <c r="G25" s="14"/>
      <c r="H25" s="14">
        <v>4</v>
      </c>
      <c r="I25" s="14">
        <f t="shared" si="0"/>
        <v>78.5904791154791</v>
      </c>
      <c r="J25" s="14"/>
      <c r="K25" s="14"/>
      <c r="L25" s="14"/>
      <c r="M25" s="14"/>
      <c r="N25" s="14"/>
      <c r="O25" s="14"/>
    </row>
    <row r="26" s="8" customFormat="1" ht="20" customHeight="1" spans="1:15">
      <c r="A26" s="21">
        <v>22</v>
      </c>
      <c r="B26" s="14" t="s">
        <v>446</v>
      </c>
      <c r="C26" s="14" t="s">
        <v>447</v>
      </c>
      <c r="D26" s="14">
        <v>92.6486486486486</v>
      </c>
      <c r="E26" s="14">
        <v>73.5454545454545</v>
      </c>
      <c r="F26" s="14">
        <v>81.75</v>
      </c>
      <c r="G26" s="14"/>
      <c r="H26" s="14">
        <v>2</v>
      </c>
      <c r="I26" s="14">
        <f t="shared" si="0"/>
        <v>78.0968673218673</v>
      </c>
      <c r="J26" s="14"/>
      <c r="K26" s="14"/>
      <c r="L26" s="14"/>
      <c r="M26" s="14"/>
      <c r="N26" s="14"/>
      <c r="O26" s="14"/>
    </row>
    <row r="27" s="8" customFormat="1" ht="20" customHeight="1" spans="1:15">
      <c r="A27" s="21">
        <v>23</v>
      </c>
      <c r="B27" s="14" t="s">
        <v>448</v>
      </c>
      <c r="C27" s="14" t="s">
        <v>449</v>
      </c>
      <c r="D27" s="14">
        <v>93.9189189189189</v>
      </c>
      <c r="E27" s="14">
        <v>77.9090909090909</v>
      </c>
      <c r="F27" s="14">
        <v>84.25</v>
      </c>
      <c r="G27" s="14">
        <v>1</v>
      </c>
      <c r="H27" s="14">
        <v>8</v>
      </c>
      <c r="I27" s="14">
        <f t="shared" si="0"/>
        <v>76.3461302211302</v>
      </c>
      <c r="J27" s="14"/>
      <c r="K27" s="14"/>
      <c r="L27" s="14"/>
      <c r="M27" s="14"/>
      <c r="N27" s="14"/>
      <c r="O27" s="14"/>
    </row>
    <row r="28" s="8" customFormat="1" ht="20" customHeight="1" spans="1:15">
      <c r="A28" s="21">
        <v>24</v>
      </c>
      <c r="B28" s="14" t="s">
        <v>450</v>
      </c>
      <c r="C28" s="14" t="s">
        <v>451</v>
      </c>
      <c r="D28" s="14">
        <v>93.6216216216216</v>
      </c>
      <c r="E28" s="14">
        <v>76.1818181818182</v>
      </c>
      <c r="F28" s="14">
        <v>89</v>
      </c>
      <c r="G28" s="14"/>
      <c r="H28" s="14">
        <v>10</v>
      </c>
      <c r="I28" s="14">
        <f t="shared" si="0"/>
        <v>72.6955773955774</v>
      </c>
      <c r="J28" s="14"/>
      <c r="K28" s="14"/>
      <c r="L28" s="14"/>
      <c r="M28" s="14"/>
      <c r="N28" s="14"/>
      <c r="O28" s="14"/>
    </row>
    <row r="29" s="8" customFormat="1" ht="20" customHeight="1" spans="1:15">
      <c r="A29" s="21">
        <v>25</v>
      </c>
      <c r="B29" s="14" t="s">
        <v>452</v>
      </c>
      <c r="C29" s="14" t="s">
        <v>453</v>
      </c>
      <c r="D29" s="14">
        <v>91.4324324324324</v>
      </c>
      <c r="E29" s="14">
        <v>78.3636363636364</v>
      </c>
      <c r="F29" s="14">
        <v>77.75</v>
      </c>
      <c r="G29" s="14"/>
      <c r="H29" s="14">
        <v>10</v>
      </c>
      <c r="I29" s="14">
        <f t="shared" si="0"/>
        <v>72.2229115479116</v>
      </c>
      <c r="J29" s="14"/>
      <c r="K29" s="14"/>
      <c r="L29" s="14"/>
      <c r="M29" s="14"/>
      <c r="N29" s="14"/>
      <c r="O29" s="14"/>
    </row>
    <row r="30" s="8" customFormat="1" ht="20" customHeight="1" spans="1:15">
      <c r="A30" s="21">
        <v>26</v>
      </c>
      <c r="B30" s="14" t="s">
        <v>454</v>
      </c>
      <c r="C30" s="14" t="s">
        <v>455</v>
      </c>
      <c r="D30" s="14">
        <v>93.054054054054</v>
      </c>
      <c r="E30" s="14">
        <v>83.3</v>
      </c>
      <c r="F30" s="14">
        <v>0</v>
      </c>
      <c r="G30" s="14"/>
      <c r="H30" s="14">
        <v>6</v>
      </c>
      <c r="I30" s="14">
        <f t="shared" si="0"/>
        <v>71.8962162162162</v>
      </c>
      <c r="J30" s="14"/>
      <c r="K30" s="14"/>
      <c r="L30" s="14"/>
      <c r="M30" s="14"/>
      <c r="N30" s="14"/>
      <c r="O30" s="14"/>
    </row>
    <row r="31" s="8" customFormat="1" ht="20" customHeight="1" spans="1:15">
      <c r="A31" s="21">
        <v>27</v>
      </c>
      <c r="B31" s="14" t="s">
        <v>456</v>
      </c>
      <c r="C31" s="14" t="s">
        <v>457</v>
      </c>
      <c r="D31" s="14">
        <v>93.9189189189189</v>
      </c>
      <c r="E31" s="14">
        <v>73.7272727272727</v>
      </c>
      <c r="F31" s="14">
        <v>87.5</v>
      </c>
      <c r="G31" s="14"/>
      <c r="H31" s="14">
        <v>12</v>
      </c>
      <c r="I31" s="14">
        <f t="shared" si="0"/>
        <v>69.1620393120393</v>
      </c>
      <c r="J31" s="14"/>
      <c r="K31" s="14"/>
      <c r="L31" s="14"/>
      <c r="M31" s="14"/>
      <c r="N31" s="14"/>
      <c r="O31" s="14"/>
    </row>
    <row r="32" s="8" customFormat="1" ht="20" customHeight="1" spans="1:15">
      <c r="A32" s="21">
        <v>28</v>
      </c>
      <c r="B32" s="14" t="s">
        <v>458</v>
      </c>
      <c r="C32" s="14" t="s">
        <v>459</v>
      </c>
      <c r="D32" s="14">
        <v>92.1621621621622</v>
      </c>
      <c r="E32" s="14">
        <v>73.7272727272727</v>
      </c>
      <c r="F32" s="14">
        <v>71.25</v>
      </c>
      <c r="G32" s="14"/>
      <c r="H32" s="14">
        <v>10</v>
      </c>
      <c r="I32" s="14">
        <f t="shared" si="0"/>
        <v>69.0100122850123</v>
      </c>
      <c r="J32" s="14"/>
      <c r="K32" s="14"/>
      <c r="L32" s="14"/>
      <c r="M32" s="14"/>
      <c r="N32" s="14"/>
      <c r="O32" s="14"/>
    </row>
    <row r="33" s="8" customFormat="1" ht="20" customHeight="1" spans="1:15">
      <c r="A33" s="21">
        <v>29</v>
      </c>
      <c r="B33" s="14" t="s">
        <v>460</v>
      </c>
      <c r="C33" s="14" t="s">
        <v>461</v>
      </c>
      <c r="D33" s="14">
        <v>92.5945945945946</v>
      </c>
      <c r="E33" s="14">
        <v>67.4545454545455</v>
      </c>
      <c r="F33" s="14">
        <v>86.5</v>
      </c>
      <c r="G33" s="14"/>
      <c r="H33" s="14">
        <v>10</v>
      </c>
      <c r="I33" s="14">
        <f t="shared" si="0"/>
        <v>66.9011056511057</v>
      </c>
      <c r="J33" s="14"/>
      <c r="K33" s="14"/>
      <c r="L33" s="14"/>
      <c r="M33" s="14"/>
      <c r="N33" s="14"/>
      <c r="O33" s="14"/>
    </row>
    <row r="34" s="8" customFormat="1" ht="20" customHeight="1" spans="1:15">
      <c r="A34" s="21">
        <v>30</v>
      </c>
      <c r="B34" s="14" t="s">
        <v>462</v>
      </c>
      <c r="C34" s="14" t="s">
        <v>463</v>
      </c>
      <c r="D34" s="14">
        <v>91.5135135135135</v>
      </c>
      <c r="E34" s="14">
        <v>74.0909090909091</v>
      </c>
      <c r="F34" s="14">
        <v>84</v>
      </c>
      <c r="G34" s="14"/>
      <c r="H34" s="14">
        <v>16</v>
      </c>
      <c r="I34" s="14">
        <f t="shared" si="0"/>
        <v>64.3085995085995</v>
      </c>
      <c r="J34" s="14"/>
      <c r="K34" s="14"/>
      <c r="L34" s="14"/>
      <c r="M34" s="14"/>
      <c r="N34" s="14"/>
      <c r="O34" s="14"/>
    </row>
    <row r="35" s="8" customFormat="1" ht="20" customHeight="1" spans="1:15">
      <c r="A35" s="21">
        <v>31</v>
      </c>
      <c r="B35" s="14" t="s">
        <v>464</v>
      </c>
      <c r="C35" s="14" t="s">
        <v>465</v>
      </c>
      <c r="D35" s="14">
        <v>92.2702702702703</v>
      </c>
      <c r="E35" s="14">
        <v>75.7272727272727</v>
      </c>
      <c r="F35" s="14">
        <v>77</v>
      </c>
      <c r="G35" s="14"/>
      <c r="H35" s="14">
        <v>22</v>
      </c>
      <c r="I35" s="14">
        <f t="shared" si="0"/>
        <v>58.8174447174447</v>
      </c>
      <c r="J35" s="14"/>
      <c r="K35" s="14"/>
      <c r="L35" s="14"/>
      <c r="M35" s="14"/>
      <c r="N35" s="14"/>
      <c r="O35" s="14"/>
    </row>
    <row r="36" s="8" customFormat="1" ht="20" customHeight="1" spans="1:15">
      <c r="A36" s="21">
        <v>32</v>
      </c>
      <c r="B36" s="14" t="s">
        <v>466</v>
      </c>
      <c r="C36" s="14" t="s">
        <v>467</v>
      </c>
      <c r="D36" s="14">
        <v>90.5135135135135</v>
      </c>
      <c r="E36" s="14">
        <v>71.3636363636364</v>
      </c>
      <c r="F36" s="14">
        <v>82</v>
      </c>
      <c r="G36" s="14"/>
      <c r="H36" s="14">
        <v>20</v>
      </c>
      <c r="I36" s="14">
        <f t="shared" si="0"/>
        <v>58.1722358722359</v>
      </c>
      <c r="J36" s="14"/>
      <c r="K36" s="14"/>
      <c r="L36" s="14"/>
      <c r="M36" s="14"/>
      <c r="N36" s="14"/>
      <c r="O36" s="14"/>
    </row>
    <row r="37" s="8" customFormat="1" ht="20" customHeight="1" spans="1:15">
      <c r="A37" s="21">
        <v>33</v>
      </c>
      <c r="B37" s="14" t="s">
        <v>468</v>
      </c>
      <c r="C37" s="14" t="s">
        <v>469</v>
      </c>
      <c r="D37" s="14">
        <v>91.972972972973</v>
      </c>
      <c r="E37" s="14">
        <v>72.2727272727273</v>
      </c>
      <c r="F37" s="14">
        <v>83.75</v>
      </c>
      <c r="G37" s="14"/>
      <c r="H37" s="14">
        <v>22</v>
      </c>
      <c r="I37" s="14">
        <f t="shared" si="0"/>
        <v>57.3305282555283</v>
      </c>
      <c r="J37" s="14"/>
      <c r="K37" s="14"/>
      <c r="L37" s="14"/>
      <c r="M37" s="14"/>
      <c r="N37" s="14"/>
      <c r="O37" s="14"/>
    </row>
    <row r="38" s="8" customFormat="1" ht="20" customHeight="1" spans="1:15">
      <c r="A38" s="21">
        <v>34</v>
      </c>
      <c r="B38" s="14" t="s">
        <v>470</v>
      </c>
      <c r="C38" s="14" t="s">
        <v>471</v>
      </c>
      <c r="D38" s="14">
        <v>92.027027027027</v>
      </c>
      <c r="E38" s="14">
        <v>67.7272727272727</v>
      </c>
      <c r="F38" s="14">
        <v>65.75</v>
      </c>
      <c r="G38" s="14"/>
      <c r="H38" s="14">
        <v>26</v>
      </c>
      <c r="I38" s="14">
        <f t="shared" si="0"/>
        <v>48.8194717444717</v>
      </c>
      <c r="J38" s="14"/>
      <c r="K38" s="14"/>
      <c r="L38" s="14"/>
      <c r="M38" s="14"/>
      <c r="N38" s="14"/>
      <c r="O38" s="14"/>
    </row>
    <row r="39" s="8" customFormat="1" ht="20" customHeight="1" spans="1:15">
      <c r="A39" s="21">
        <v>35</v>
      </c>
      <c r="B39" s="14" t="s">
        <v>472</v>
      </c>
      <c r="C39" s="14" t="s">
        <v>473</v>
      </c>
      <c r="D39" s="14">
        <v>90.6756756756757</v>
      </c>
      <c r="E39" s="14">
        <v>64.1818181818182</v>
      </c>
      <c r="F39" s="14">
        <v>71.5</v>
      </c>
      <c r="G39" s="14"/>
      <c r="H39" s="14">
        <v>30</v>
      </c>
      <c r="I39" s="14">
        <f t="shared" si="0"/>
        <v>42.8617936117936</v>
      </c>
      <c r="J39" s="14"/>
      <c r="K39" s="14"/>
      <c r="L39" s="14"/>
      <c r="M39" s="14"/>
      <c r="N39" s="14"/>
      <c r="O39" s="14"/>
    </row>
    <row r="40" s="8" customFormat="1" ht="20" customHeight="1" spans="1:15">
      <c r="A40" s="21">
        <v>36</v>
      </c>
      <c r="B40" s="14" t="s">
        <v>474</v>
      </c>
      <c r="C40" s="14" t="s">
        <v>475</v>
      </c>
      <c r="D40" s="14">
        <v>90.5405405405405</v>
      </c>
      <c r="E40" s="14">
        <v>67.2727272727273</v>
      </c>
      <c r="F40" s="14">
        <v>86.75</v>
      </c>
      <c r="G40" s="14"/>
      <c r="H40" s="14">
        <v>42</v>
      </c>
      <c r="I40" s="14">
        <f t="shared" si="0"/>
        <v>34.2007985257985</v>
      </c>
      <c r="J40" s="14"/>
      <c r="K40" s="14"/>
      <c r="L40" s="14"/>
      <c r="M40" s="14"/>
      <c r="N40" s="14"/>
      <c r="O40" s="14"/>
    </row>
    <row r="41" s="8" customFormat="1" ht="20" customHeight="1" spans="1:15">
      <c r="A41" s="21">
        <v>37</v>
      </c>
      <c r="B41" s="14" t="s">
        <v>476</v>
      </c>
      <c r="C41" s="14" t="s">
        <v>477</v>
      </c>
      <c r="D41" s="14">
        <v>90.5405405405405</v>
      </c>
      <c r="E41" s="14">
        <v>73.4545454545455</v>
      </c>
      <c r="F41" s="14">
        <v>88</v>
      </c>
      <c r="G41" s="14"/>
      <c r="H41" s="14">
        <v>55</v>
      </c>
      <c r="I41" s="14">
        <f t="shared" si="0"/>
        <v>25.0348894348895</v>
      </c>
      <c r="J41" s="14"/>
      <c r="K41" s="14"/>
      <c r="L41" s="14"/>
      <c r="M41" s="14"/>
      <c r="N41" s="14"/>
      <c r="O41" s="14"/>
    </row>
    <row r="42" spans="1:15">
      <c r="A42" s="19" t="s">
        <v>119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</row>
  </sheetData>
  <mergeCells count="4">
    <mergeCell ref="A1:O1"/>
    <mergeCell ref="A2:O2"/>
    <mergeCell ref="A3:O3"/>
    <mergeCell ref="A42:O42"/>
  </mergeCells>
  <pageMargins left="0.7" right="0.7" top="0.75" bottom="0.75" header="0.3" footer="0.3"/>
  <pageSetup paperSize="9" scale="9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"/>
  <sheetViews>
    <sheetView workbookViewId="0">
      <selection activeCell="N10" sqref="N10"/>
    </sheetView>
  </sheetViews>
  <sheetFormatPr defaultColWidth="9" defaultRowHeight="16.8"/>
  <cols>
    <col min="2" max="2" width="14.9038461538462" customWidth="1"/>
    <col min="3" max="3" width="13.6153846153846" customWidth="1"/>
    <col min="4" max="4" width="14.0961538461538" customWidth="1"/>
    <col min="5" max="5" width="14.5769230769231" customWidth="1"/>
    <col min="6" max="6" width="13.6153846153846" customWidth="1"/>
    <col min="7" max="7" width="14.2596153846154" customWidth="1"/>
    <col min="8" max="8" width="12.0192307692308" customWidth="1"/>
    <col min="9" max="9" width="17.9423076923077" customWidth="1"/>
  </cols>
  <sheetData>
    <row r="1" spans="1:15">
      <c r="A1" s="16" t="s">
        <v>0</v>
      </c>
      <c r="B1" s="16"/>
      <c r="C1" s="16"/>
      <c r="D1" s="16"/>
      <c r="E1" s="16"/>
      <c r="F1" s="16"/>
      <c r="G1" s="16"/>
      <c r="H1" s="16"/>
      <c r="I1" s="43"/>
      <c r="J1" s="16"/>
      <c r="K1" s="16"/>
      <c r="L1" s="16"/>
      <c r="M1" s="16"/>
      <c r="N1" s="16"/>
      <c r="O1" s="16"/>
    </row>
    <row r="2" ht="40" customHeight="1" spans="1:15">
      <c r="A2" s="17" t="s">
        <v>1</v>
      </c>
      <c r="B2" s="17"/>
      <c r="C2" s="17"/>
      <c r="D2" s="17"/>
      <c r="E2" s="17"/>
      <c r="F2" s="17"/>
      <c r="G2" s="17"/>
      <c r="H2" s="17"/>
      <c r="I2" s="44"/>
      <c r="J2" s="17"/>
      <c r="K2" s="17"/>
      <c r="L2" s="17"/>
      <c r="M2" s="17"/>
      <c r="N2" s="17"/>
      <c r="O2" s="17"/>
    </row>
    <row r="3" ht="28" customHeight="1" spans="1:15">
      <c r="A3" s="18" t="s">
        <v>478</v>
      </c>
      <c r="B3" s="18"/>
      <c r="C3" s="18"/>
      <c r="D3" s="18"/>
      <c r="E3" s="18"/>
      <c r="F3" s="18"/>
      <c r="G3" s="18"/>
      <c r="H3" s="18"/>
      <c r="I3" s="45"/>
      <c r="J3" s="18"/>
      <c r="K3" s="18"/>
      <c r="L3" s="18"/>
      <c r="M3" s="18"/>
      <c r="N3" s="18"/>
      <c r="O3" s="18"/>
    </row>
    <row r="4" ht="71" customHeight="1" spans="1:1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46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</row>
    <row r="5" s="8" customFormat="1" ht="20" customHeight="1" spans="1:15">
      <c r="A5" s="13">
        <v>1</v>
      </c>
      <c r="B5" s="13" t="s">
        <v>479</v>
      </c>
      <c r="C5" s="13" t="s">
        <v>480</v>
      </c>
      <c r="D5" s="13">
        <v>98.87</v>
      </c>
      <c r="E5" s="13" t="s">
        <v>481</v>
      </c>
      <c r="F5" s="13">
        <v>83</v>
      </c>
      <c r="G5" s="13">
        <v>9.5</v>
      </c>
      <c r="H5" s="13"/>
      <c r="I5" s="13">
        <f t="shared" ref="I5:I12" si="0">D5*0.3+E5*0.6+F5*0.1+G5-H5</f>
        <v>96.499</v>
      </c>
      <c r="J5" s="13"/>
      <c r="K5" s="13"/>
      <c r="L5" s="13"/>
      <c r="M5" s="13"/>
      <c r="N5" s="13" t="s">
        <v>21</v>
      </c>
      <c r="O5" s="13"/>
    </row>
    <row r="6" s="8" customFormat="1" ht="20" customHeight="1" spans="1:15">
      <c r="A6" s="13">
        <v>2</v>
      </c>
      <c r="B6" s="13" t="s">
        <v>482</v>
      </c>
      <c r="C6" s="13" t="s">
        <v>483</v>
      </c>
      <c r="D6" s="13">
        <v>98.05</v>
      </c>
      <c r="E6" s="13" t="s">
        <v>139</v>
      </c>
      <c r="F6" s="13">
        <v>83.5</v>
      </c>
      <c r="G6" s="13">
        <v>6</v>
      </c>
      <c r="H6" s="13"/>
      <c r="I6" s="13">
        <f t="shared" si="0"/>
        <v>96.127</v>
      </c>
      <c r="J6" s="13"/>
      <c r="K6" s="13"/>
      <c r="L6" s="13"/>
      <c r="M6" s="13" t="s">
        <v>21</v>
      </c>
      <c r="N6" s="13" t="s">
        <v>21</v>
      </c>
      <c r="O6" s="13"/>
    </row>
    <row r="7" s="8" customFormat="1" ht="20" customHeight="1" spans="1:15">
      <c r="A7" s="13">
        <v>3</v>
      </c>
      <c r="B7" s="13" t="s">
        <v>484</v>
      </c>
      <c r="C7" s="13" t="s">
        <v>485</v>
      </c>
      <c r="D7" s="13">
        <v>98.08</v>
      </c>
      <c r="E7" s="13" t="s">
        <v>486</v>
      </c>
      <c r="F7" s="13">
        <v>86.25</v>
      </c>
      <c r="G7" s="13">
        <v>7</v>
      </c>
      <c r="H7" s="13"/>
      <c r="I7" s="13">
        <f t="shared" si="0"/>
        <v>95.233</v>
      </c>
      <c r="J7" s="13"/>
      <c r="K7" s="13"/>
      <c r="L7" s="13"/>
      <c r="M7" s="13"/>
      <c r="N7" s="13"/>
      <c r="O7" s="13" t="s">
        <v>21</v>
      </c>
    </row>
    <row r="8" s="8" customFormat="1" ht="20" customHeight="1" spans="1:15">
      <c r="A8" s="13">
        <v>4</v>
      </c>
      <c r="B8" s="13" t="s">
        <v>487</v>
      </c>
      <c r="C8" s="13" t="s">
        <v>488</v>
      </c>
      <c r="D8" s="13">
        <v>98.87</v>
      </c>
      <c r="E8" s="13" t="s">
        <v>58</v>
      </c>
      <c r="F8" s="13">
        <v>78.25</v>
      </c>
      <c r="G8" s="13">
        <v>8</v>
      </c>
      <c r="H8" s="13">
        <v>4</v>
      </c>
      <c r="I8" s="13">
        <f t="shared" si="0"/>
        <v>90.416</v>
      </c>
      <c r="J8" s="13"/>
      <c r="K8" s="13"/>
      <c r="L8" s="13"/>
      <c r="M8" s="13"/>
      <c r="N8" s="13"/>
      <c r="O8" s="13"/>
    </row>
    <row r="9" s="8" customFormat="1" ht="20" customHeight="1" spans="1:15">
      <c r="A9" s="13">
        <v>5</v>
      </c>
      <c r="B9" s="13" t="s">
        <v>489</v>
      </c>
      <c r="C9" s="13" t="s">
        <v>490</v>
      </c>
      <c r="D9" s="13">
        <v>98.16</v>
      </c>
      <c r="E9" s="13" t="s">
        <v>491</v>
      </c>
      <c r="F9" s="13">
        <v>81.5</v>
      </c>
      <c r="G9" s="13"/>
      <c r="H9" s="13"/>
      <c r="I9" s="13">
        <f t="shared" si="0"/>
        <v>90.014</v>
      </c>
      <c r="J9" s="13"/>
      <c r="K9" s="13"/>
      <c r="L9" s="13"/>
      <c r="M9" s="13" t="s">
        <v>21</v>
      </c>
      <c r="N9" s="13" t="s">
        <v>21</v>
      </c>
      <c r="O9" s="13"/>
    </row>
    <row r="10" s="8" customFormat="1" ht="20" customHeight="1" spans="1:15">
      <c r="A10" s="13">
        <v>6</v>
      </c>
      <c r="B10" s="13" t="s">
        <v>492</v>
      </c>
      <c r="C10" s="13" t="s">
        <v>493</v>
      </c>
      <c r="D10" s="13">
        <v>97.79</v>
      </c>
      <c r="E10" s="13" t="s">
        <v>27</v>
      </c>
      <c r="F10" s="13">
        <v>84</v>
      </c>
      <c r="G10" s="13"/>
      <c r="H10" s="13"/>
      <c r="I10" s="13">
        <f t="shared" si="0"/>
        <v>89.937</v>
      </c>
      <c r="J10" s="13"/>
      <c r="K10" s="13"/>
      <c r="L10" s="13"/>
      <c r="M10" s="13"/>
      <c r="N10" s="13" t="s">
        <v>21</v>
      </c>
      <c r="O10" s="13"/>
    </row>
    <row r="11" s="8" customFormat="1" ht="20" customHeight="1" spans="1:15">
      <c r="A11" s="13">
        <v>7</v>
      </c>
      <c r="B11" s="13" t="s">
        <v>494</v>
      </c>
      <c r="C11" s="13" t="s">
        <v>495</v>
      </c>
      <c r="D11" s="13">
        <v>97.89</v>
      </c>
      <c r="E11" s="13" t="s">
        <v>496</v>
      </c>
      <c r="F11" s="13">
        <v>87.25</v>
      </c>
      <c r="G11" s="13"/>
      <c r="H11" s="13"/>
      <c r="I11" s="13">
        <f t="shared" si="0"/>
        <v>89.584</v>
      </c>
      <c r="J11" s="13"/>
      <c r="K11" s="13"/>
      <c r="L11" s="13"/>
      <c r="M11" s="13"/>
      <c r="N11" s="13" t="s">
        <v>21</v>
      </c>
      <c r="O11" s="13"/>
    </row>
    <row r="12" s="8" customFormat="1" ht="20" customHeight="1" spans="1:15">
      <c r="A12" s="13">
        <v>8</v>
      </c>
      <c r="B12" s="13" t="s">
        <v>497</v>
      </c>
      <c r="C12" s="13" t="s">
        <v>498</v>
      </c>
      <c r="D12" s="13">
        <v>98.5</v>
      </c>
      <c r="E12" s="13" t="s">
        <v>499</v>
      </c>
      <c r="F12" s="13">
        <v>85</v>
      </c>
      <c r="G12" s="13">
        <v>2</v>
      </c>
      <c r="H12" s="13"/>
      <c r="I12" s="13">
        <f t="shared" si="0"/>
        <v>89.196</v>
      </c>
      <c r="J12" s="13"/>
      <c r="K12" s="13"/>
      <c r="L12" s="13"/>
      <c r="M12" s="13"/>
      <c r="N12" s="13"/>
      <c r="O12" s="13" t="s">
        <v>21</v>
      </c>
    </row>
    <row r="13" s="8" customFormat="1" ht="20" customHeight="1" spans="1:15">
      <c r="A13" s="13">
        <v>9</v>
      </c>
      <c r="B13" s="13" t="s">
        <v>500</v>
      </c>
      <c r="C13" s="13" t="s">
        <v>501</v>
      </c>
      <c r="D13" s="13">
        <v>97.97</v>
      </c>
      <c r="E13" s="13" t="s">
        <v>502</v>
      </c>
      <c r="F13" s="13">
        <v>81.75</v>
      </c>
      <c r="G13" s="13">
        <v>3</v>
      </c>
      <c r="H13" s="13"/>
      <c r="I13" s="13">
        <f>D13*0.3+E13*0.6+F13*0.1+G14-H13</f>
        <v>88.458</v>
      </c>
      <c r="J13" s="13"/>
      <c r="K13" s="13"/>
      <c r="L13" s="13"/>
      <c r="M13" s="13"/>
      <c r="N13" s="13"/>
      <c r="O13" s="13" t="s">
        <v>21</v>
      </c>
    </row>
    <row r="14" s="8" customFormat="1" ht="20" customHeight="1" spans="1:15">
      <c r="A14" s="13">
        <v>10</v>
      </c>
      <c r="B14" s="13" t="s">
        <v>503</v>
      </c>
      <c r="C14" s="13" t="s">
        <v>504</v>
      </c>
      <c r="D14" s="13">
        <v>97.58</v>
      </c>
      <c r="E14" s="13" t="s">
        <v>125</v>
      </c>
      <c r="F14" s="13">
        <v>87</v>
      </c>
      <c r="G14" s="13"/>
      <c r="H14" s="13"/>
      <c r="I14" s="13">
        <f t="shared" ref="I14:I42" si="1">D14*0.3+E14*0.6+F14*0.1+G14-H14</f>
        <v>87.99</v>
      </c>
      <c r="J14" s="13"/>
      <c r="K14" s="13"/>
      <c r="L14" s="13"/>
      <c r="M14" s="13"/>
      <c r="N14" s="13" t="s">
        <v>21</v>
      </c>
      <c r="O14" s="13"/>
    </row>
    <row r="15" s="8" customFormat="1" ht="20" customHeight="1" spans="1:15">
      <c r="A15" s="13">
        <v>11</v>
      </c>
      <c r="B15" s="13" t="s">
        <v>505</v>
      </c>
      <c r="C15" s="13" t="s">
        <v>506</v>
      </c>
      <c r="D15" s="13">
        <v>97.74</v>
      </c>
      <c r="E15" s="13" t="s">
        <v>130</v>
      </c>
      <c r="F15" s="13">
        <v>88</v>
      </c>
      <c r="G15" s="13"/>
      <c r="H15" s="13">
        <v>2</v>
      </c>
      <c r="I15" s="13">
        <f t="shared" si="1"/>
        <v>87.068</v>
      </c>
      <c r="J15" s="13"/>
      <c r="K15" s="13"/>
      <c r="L15" s="13"/>
      <c r="M15" s="13"/>
      <c r="N15" s="13"/>
      <c r="O15" s="13"/>
    </row>
    <row r="16" s="8" customFormat="1" ht="20" customHeight="1" spans="1:15">
      <c r="A16" s="13">
        <v>12</v>
      </c>
      <c r="B16" s="13" t="s">
        <v>507</v>
      </c>
      <c r="C16" s="13" t="s">
        <v>508</v>
      </c>
      <c r="D16" s="13">
        <v>97.84</v>
      </c>
      <c r="E16" s="13" t="s">
        <v>509</v>
      </c>
      <c r="F16" s="13">
        <v>85</v>
      </c>
      <c r="G16" s="13"/>
      <c r="H16" s="13">
        <v>2</v>
      </c>
      <c r="I16" s="13">
        <f t="shared" si="1"/>
        <v>86.636</v>
      </c>
      <c r="J16" s="13"/>
      <c r="K16" s="13"/>
      <c r="L16" s="13"/>
      <c r="M16" s="13"/>
      <c r="N16" s="13"/>
      <c r="O16" s="13"/>
    </row>
    <row r="17" s="8" customFormat="1" ht="20" customHeight="1" spans="1:15">
      <c r="A17" s="13">
        <v>13</v>
      </c>
      <c r="B17" s="13" t="s">
        <v>510</v>
      </c>
      <c r="C17" s="13" t="s">
        <v>511</v>
      </c>
      <c r="D17" s="13">
        <v>97.45</v>
      </c>
      <c r="E17" s="13" t="s">
        <v>171</v>
      </c>
      <c r="F17" s="13">
        <v>87.5</v>
      </c>
      <c r="G17" s="13">
        <v>1</v>
      </c>
      <c r="H17" s="13"/>
      <c r="I17" s="13">
        <f t="shared" si="1"/>
        <v>85.677</v>
      </c>
      <c r="J17" s="13"/>
      <c r="K17" s="13"/>
      <c r="L17" s="13"/>
      <c r="M17" s="13"/>
      <c r="N17" s="13"/>
      <c r="O17" s="13" t="s">
        <v>21</v>
      </c>
    </row>
    <row r="18" s="8" customFormat="1" ht="20" customHeight="1" spans="1:15">
      <c r="A18" s="13">
        <v>14</v>
      </c>
      <c r="B18" s="13" t="s">
        <v>512</v>
      </c>
      <c r="C18" s="13" t="s">
        <v>513</v>
      </c>
      <c r="D18" s="13">
        <v>97.71</v>
      </c>
      <c r="E18" s="13" t="s">
        <v>514</v>
      </c>
      <c r="F18" s="13">
        <v>79.25</v>
      </c>
      <c r="G18" s="13"/>
      <c r="H18" s="13"/>
      <c r="I18" s="13">
        <f t="shared" si="1"/>
        <v>85.622</v>
      </c>
      <c r="J18" s="13"/>
      <c r="K18" s="13"/>
      <c r="L18" s="13"/>
      <c r="M18" s="13"/>
      <c r="N18" s="13"/>
      <c r="O18" s="13"/>
    </row>
    <row r="19" s="8" customFormat="1" ht="20" customHeight="1" spans="1:15">
      <c r="A19" s="13">
        <v>15</v>
      </c>
      <c r="B19" s="13" t="s">
        <v>515</v>
      </c>
      <c r="C19" s="13" t="s">
        <v>516</v>
      </c>
      <c r="D19" s="13">
        <v>97.74</v>
      </c>
      <c r="E19" s="13" t="s">
        <v>517</v>
      </c>
      <c r="F19" s="13">
        <v>86.75</v>
      </c>
      <c r="G19" s="13"/>
      <c r="H19" s="13"/>
      <c r="I19" s="13">
        <f t="shared" si="1"/>
        <v>85.067</v>
      </c>
      <c r="J19" s="13"/>
      <c r="K19" s="13"/>
      <c r="L19" s="13"/>
      <c r="M19" s="13"/>
      <c r="N19" s="13"/>
      <c r="O19" s="13"/>
    </row>
    <row r="20" s="8" customFormat="1" ht="20" customHeight="1" spans="1:15">
      <c r="A20" s="14">
        <v>16</v>
      </c>
      <c r="B20" s="14" t="s">
        <v>518</v>
      </c>
      <c r="C20" s="14" t="s">
        <v>519</v>
      </c>
      <c r="D20" s="14">
        <v>97.74</v>
      </c>
      <c r="E20" s="14" t="s">
        <v>109</v>
      </c>
      <c r="F20" s="14">
        <v>83</v>
      </c>
      <c r="G20" s="14"/>
      <c r="H20" s="14"/>
      <c r="I20" s="14">
        <f t="shared" si="1"/>
        <v>85.022</v>
      </c>
      <c r="J20" s="14"/>
      <c r="K20" s="14"/>
      <c r="L20" s="14"/>
      <c r="M20" s="14"/>
      <c r="N20" s="14"/>
      <c r="O20" s="14"/>
    </row>
    <row r="21" s="8" customFormat="1" ht="20" customHeight="1" spans="1:15">
      <c r="A21" s="14">
        <v>17</v>
      </c>
      <c r="B21" s="14" t="s">
        <v>520</v>
      </c>
      <c r="C21" s="14" t="s">
        <v>521</v>
      </c>
      <c r="D21" s="14">
        <v>97.58</v>
      </c>
      <c r="E21" s="14" t="s">
        <v>522</v>
      </c>
      <c r="F21" s="14">
        <v>79</v>
      </c>
      <c r="G21" s="14"/>
      <c r="H21" s="14"/>
      <c r="I21" s="14">
        <f t="shared" si="1"/>
        <v>84.844</v>
      </c>
      <c r="J21" s="14"/>
      <c r="K21" s="14"/>
      <c r="L21" s="14"/>
      <c r="M21" s="14"/>
      <c r="N21" s="14"/>
      <c r="O21" s="14"/>
    </row>
    <row r="22" s="8" customFormat="1" ht="20" customHeight="1" spans="1:15">
      <c r="A22" s="14">
        <v>18</v>
      </c>
      <c r="B22" s="14" t="s">
        <v>523</v>
      </c>
      <c r="C22" s="14" t="s">
        <v>524</v>
      </c>
      <c r="D22" s="14">
        <v>97.97</v>
      </c>
      <c r="E22" s="14" t="s">
        <v>525</v>
      </c>
      <c r="F22" s="14">
        <v>82.25</v>
      </c>
      <c r="G22" s="14">
        <v>1</v>
      </c>
      <c r="H22" s="14">
        <v>2</v>
      </c>
      <c r="I22" s="14">
        <f t="shared" si="1"/>
        <v>83.416</v>
      </c>
      <c r="J22" s="14"/>
      <c r="K22" s="14"/>
      <c r="L22" s="14"/>
      <c r="M22" s="14"/>
      <c r="N22" s="14"/>
      <c r="O22" s="14"/>
    </row>
    <row r="23" s="8" customFormat="1" ht="20" customHeight="1" spans="1:15">
      <c r="A23" s="14">
        <v>19</v>
      </c>
      <c r="B23" s="14" t="s">
        <v>526</v>
      </c>
      <c r="C23" s="14" t="s">
        <v>527</v>
      </c>
      <c r="D23" s="14">
        <v>98.39</v>
      </c>
      <c r="E23" s="14" t="s">
        <v>528</v>
      </c>
      <c r="F23" s="14">
        <v>86.5</v>
      </c>
      <c r="G23" s="14"/>
      <c r="H23" s="14">
        <v>4</v>
      </c>
      <c r="I23" s="14">
        <f t="shared" si="1"/>
        <v>82.659</v>
      </c>
      <c r="J23" s="14"/>
      <c r="K23" s="14"/>
      <c r="L23" s="14"/>
      <c r="M23" s="14"/>
      <c r="N23" s="14"/>
      <c r="O23" s="14"/>
    </row>
    <row r="24" s="8" customFormat="1" ht="20" customHeight="1" spans="1:15">
      <c r="A24" s="14">
        <v>20</v>
      </c>
      <c r="B24" s="14" t="s">
        <v>529</v>
      </c>
      <c r="C24" s="14" t="s">
        <v>530</v>
      </c>
      <c r="D24" s="14">
        <v>97.32</v>
      </c>
      <c r="E24" s="14" t="s">
        <v>204</v>
      </c>
      <c r="F24" s="14">
        <v>81.5</v>
      </c>
      <c r="G24" s="14"/>
      <c r="H24" s="14">
        <v>2</v>
      </c>
      <c r="I24" s="14">
        <f t="shared" si="1"/>
        <v>82.53</v>
      </c>
      <c r="J24" s="14"/>
      <c r="K24" s="14"/>
      <c r="L24" s="14"/>
      <c r="M24" s="14"/>
      <c r="N24" s="14"/>
      <c r="O24" s="14"/>
    </row>
    <row r="25" s="8" customFormat="1" ht="20" customHeight="1" spans="1:15">
      <c r="A25" s="14">
        <v>21</v>
      </c>
      <c r="B25" s="14" t="s">
        <v>531</v>
      </c>
      <c r="C25" s="14" t="s">
        <v>532</v>
      </c>
      <c r="D25" s="14">
        <v>97.66</v>
      </c>
      <c r="E25" s="14" t="s">
        <v>533</v>
      </c>
      <c r="F25" s="14">
        <v>84.25</v>
      </c>
      <c r="G25" s="14"/>
      <c r="H25" s="14">
        <v>4</v>
      </c>
      <c r="I25" s="14">
        <f t="shared" si="1"/>
        <v>81.231</v>
      </c>
      <c r="J25" s="14"/>
      <c r="K25" s="14"/>
      <c r="L25" s="14"/>
      <c r="M25" s="14"/>
      <c r="N25" s="14"/>
      <c r="O25" s="14"/>
    </row>
    <row r="26" s="8" customFormat="1" ht="20" customHeight="1" spans="1:15">
      <c r="A26" s="14">
        <v>22</v>
      </c>
      <c r="B26" s="14" t="s">
        <v>534</v>
      </c>
      <c r="C26" s="14" t="s">
        <v>535</v>
      </c>
      <c r="D26" s="14">
        <v>97.68</v>
      </c>
      <c r="E26" s="14" t="s">
        <v>277</v>
      </c>
      <c r="F26" s="14">
        <v>80.75</v>
      </c>
      <c r="G26" s="14"/>
      <c r="H26" s="14">
        <v>4</v>
      </c>
      <c r="I26" s="14">
        <f t="shared" si="1"/>
        <v>81.217</v>
      </c>
      <c r="J26" s="14"/>
      <c r="K26" s="14"/>
      <c r="L26" s="14"/>
      <c r="M26" s="14"/>
      <c r="N26" s="14"/>
      <c r="O26" s="14"/>
    </row>
    <row r="27" s="8" customFormat="1" ht="20" customHeight="1" spans="1:15">
      <c r="A27" s="14">
        <v>23</v>
      </c>
      <c r="B27" s="14" t="s">
        <v>536</v>
      </c>
      <c r="C27" s="14" t="s">
        <v>537</v>
      </c>
      <c r="D27" s="14">
        <v>97.21</v>
      </c>
      <c r="E27" s="14" t="s">
        <v>538</v>
      </c>
      <c r="F27" s="14">
        <v>82</v>
      </c>
      <c r="G27" s="14"/>
      <c r="H27" s="14">
        <v>6</v>
      </c>
      <c r="I27" s="14">
        <f t="shared" si="1"/>
        <v>80.893</v>
      </c>
      <c r="J27" s="14"/>
      <c r="K27" s="14"/>
      <c r="L27" s="14"/>
      <c r="M27" s="14"/>
      <c r="N27" s="14"/>
      <c r="O27" s="14"/>
    </row>
    <row r="28" s="8" customFormat="1" ht="20" customHeight="1" spans="1:15">
      <c r="A28" s="14">
        <v>24</v>
      </c>
      <c r="B28" s="14" t="s">
        <v>539</v>
      </c>
      <c r="C28" s="14" t="s">
        <v>540</v>
      </c>
      <c r="D28" s="14">
        <v>97.24</v>
      </c>
      <c r="E28" s="14" t="s">
        <v>541</v>
      </c>
      <c r="F28" s="14">
        <v>75.5</v>
      </c>
      <c r="G28" s="14"/>
      <c r="H28" s="14">
        <v>4</v>
      </c>
      <c r="I28" s="14">
        <f t="shared" si="1"/>
        <v>78.268</v>
      </c>
      <c r="J28" s="14"/>
      <c r="K28" s="14"/>
      <c r="L28" s="14"/>
      <c r="M28" s="14"/>
      <c r="N28" s="14"/>
      <c r="O28" s="14"/>
    </row>
    <row r="29" s="8" customFormat="1" ht="20" customHeight="1" spans="1:15">
      <c r="A29" s="14">
        <v>25</v>
      </c>
      <c r="B29" s="14" t="s">
        <v>542</v>
      </c>
      <c r="C29" s="14" t="s">
        <v>543</v>
      </c>
      <c r="D29" s="14">
        <v>97.42</v>
      </c>
      <c r="E29" s="14" t="s">
        <v>544</v>
      </c>
      <c r="F29" s="14">
        <v>86.25</v>
      </c>
      <c r="G29" s="14"/>
      <c r="H29" s="14">
        <v>6</v>
      </c>
      <c r="I29" s="14">
        <f t="shared" si="1"/>
        <v>77.343</v>
      </c>
      <c r="J29" s="14"/>
      <c r="K29" s="14"/>
      <c r="L29" s="14"/>
      <c r="M29" s="14"/>
      <c r="N29" s="14"/>
      <c r="O29" s="14"/>
    </row>
    <row r="30" s="8" customFormat="1" ht="20" customHeight="1" spans="1:15">
      <c r="A30" s="14">
        <v>26</v>
      </c>
      <c r="B30" s="14" t="s">
        <v>545</v>
      </c>
      <c r="C30" s="14" t="s">
        <v>546</v>
      </c>
      <c r="D30" s="14">
        <v>97.97</v>
      </c>
      <c r="E30" s="14" t="s">
        <v>154</v>
      </c>
      <c r="F30" s="14">
        <v>80.5</v>
      </c>
      <c r="G30" s="14"/>
      <c r="H30" s="14">
        <v>6</v>
      </c>
      <c r="I30" s="14">
        <f t="shared" si="1"/>
        <v>76.825</v>
      </c>
      <c r="J30" s="14"/>
      <c r="K30" s="14"/>
      <c r="L30" s="14"/>
      <c r="M30" s="14"/>
      <c r="N30" s="14"/>
      <c r="O30" s="14"/>
    </row>
    <row r="31" s="8" customFormat="1" ht="20" customHeight="1" spans="1:15">
      <c r="A31" s="14">
        <v>27</v>
      </c>
      <c r="B31" s="14" t="s">
        <v>547</v>
      </c>
      <c r="C31" s="14" t="s">
        <v>548</v>
      </c>
      <c r="D31" s="14">
        <v>97.79</v>
      </c>
      <c r="E31" s="14" t="s">
        <v>549</v>
      </c>
      <c r="F31" s="14">
        <v>67.75</v>
      </c>
      <c r="G31" s="14"/>
      <c r="H31" s="14">
        <v>12</v>
      </c>
      <c r="I31" s="14">
        <f t="shared" si="1"/>
        <v>75.496</v>
      </c>
      <c r="J31" s="14"/>
      <c r="K31" s="14"/>
      <c r="L31" s="14"/>
      <c r="M31" s="14"/>
      <c r="N31" s="14"/>
      <c r="O31" s="14"/>
    </row>
    <row r="32" s="8" customFormat="1" ht="20" customHeight="1" spans="1:15">
      <c r="A32" s="14">
        <v>28</v>
      </c>
      <c r="B32" s="14" t="s">
        <v>550</v>
      </c>
      <c r="C32" s="14" t="s">
        <v>551</v>
      </c>
      <c r="D32" s="14">
        <v>97.66</v>
      </c>
      <c r="E32" s="14" t="s">
        <v>517</v>
      </c>
      <c r="F32" s="14">
        <v>84</v>
      </c>
      <c r="G32" s="14"/>
      <c r="H32" s="14">
        <v>10</v>
      </c>
      <c r="I32" s="14">
        <f t="shared" si="1"/>
        <v>74.768</v>
      </c>
      <c r="J32" s="14"/>
      <c r="K32" s="14"/>
      <c r="L32" s="14"/>
      <c r="M32" s="14"/>
      <c r="N32" s="14"/>
      <c r="O32" s="14"/>
    </row>
    <row r="33" s="8" customFormat="1" ht="20" customHeight="1" spans="1:15">
      <c r="A33" s="14">
        <v>29</v>
      </c>
      <c r="B33" s="14" t="s">
        <v>552</v>
      </c>
      <c r="C33" s="14" t="s">
        <v>553</v>
      </c>
      <c r="D33" s="14">
        <v>97.39</v>
      </c>
      <c r="E33" s="14" t="s">
        <v>554</v>
      </c>
      <c r="F33" s="14">
        <v>77.5</v>
      </c>
      <c r="G33" s="14"/>
      <c r="H33" s="14">
        <v>8</v>
      </c>
      <c r="I33" s="14">
        <f t="shared" si="1"/>
        <v>73.805</v>
      </c>
      <c r="J33" s="14"/>
      <c r="K33" s="14"/>
      <c r="L33" s="14"/>
      <c r="M33" s="14"/>
      <c r="N33" s="14"/>
      <c r="O33" s="14"/>
    </row>
    <row r="34" s="8" customFormat="1" ht="20" customHeight="1" spans="1:15">
      <c r="A34" s="14">
        <v>30</v>
      </c>
      <c r="B34" s="14" t="s">
        <v>555</v>
      </c>
      <c r="C34" s="14" t="s">
        <v>556</v>
      </c>
      <c r="D34" s="14">
        <v>97.66</v>
      </c>
      <c r="E34" s="14" t="s">
        <v>103</v>
      </c>
      <c r="F34" s="14">
        <v>78.25</v>
      </c>
      <c r="G34" s="14"/>
      <c r="H34" s="14">
        <v>10</v>
      </c>
      <c r="I34" s="14">
        <f t="shared" si="1"/>
        <v>73.593</v>
      </c>
      <c r="J34" s="14"/>
      <c r="K34" s="14"/>
      <c r="L34" s="14"/>
      <c r="M34" s="14"/>
      <c r="N34" s="14"/>
      <c r="O34" s="14"/>
    </row>
    <row r="35" s="8" customFormat="1" ht="20" customHeight="1" spans="1:15">
      <c r="A35" s="14">
        <v>31</v>
      </c>
      <c r="B35" s="14" t="s">
        <v>557</v>
      </c>
      <c r="C35" s="14" t="s">
        <v>558</v>
      </c>
      <c r="D35" s="14">
        <v>96.87</v>
      </c>
      <c r="E35" s="14" t="s">
        <v>559</v>
      </c>
      <c r="F35" s="14">
        <v>80</v>
      </c>
      <c r="G35" s="14"/>
      <c r="H35" s="14">
        <v>12</v>
      </c>
      <c r="I35" s="14">
        <f t="shared" si="1"/>
        <v>71.807</v>
      </c>
      <c r="J35" s="14"/>
      <c r="K35" s="14"/>
      <c r="L35" s="14"/>
      <c r="M35" s="14"/>
      <c r="N35" s="14"/>
      <c r="O35" s="14"/>
    </row>
    <row r="36" s="8" customFormat="1" ht="20" customHeight="1" spans="1:15">
      <c r="A36" s="14">
        <v>32</v>
      </c>
      <c r="B36" s="14" t="s">
        <v>560</v>
      </c>
      <c r="C36" s="14" t="s">
        <v>561</v>
      </c>
      <c r="D36" s="14">
        <v>97.18</v>
      </c>
      <c r="E36" s="14" t="s">
        <v>562</v>
      </c>
      <c r="F36" s="14">
        <v>82.75</v>
      </c>
      <c r="G36" s="14"/>
      <c r="H36" s="14">
        <v>14</v>
      </c>
      <c r="I36" s="14">
        <f t="shared" si="1"/>
        <v>70.283</v>
      </c>
      <c r="J36" s="14"/>
      <c r="K36" s="14"/>
      <c r="L36" s="14"/>
      <c r="M36" s="14"/>
      <c r="N36" s="14"/>
      <c r="O36" s="14"/>
    </row>
    <row r="37" s="8" customFormat="1" ht="20" customHeight="1" spans="1:15">
      <c r="A37" s="14">
        <v>33</v>
      </c>
      <c r="B37" s="14" t="s">
        <v>563</v>
      </c>
      <c r="C37" s="14" t="s">
        <v>564</v>
      </c>
      <c r="D37" s="14">
        <v>96.55</v>
      </c>
      <c r="E37" s="14" t="s">
        <v>303</v>
      </c>
      <c r="F37" s="14">
        <v>82.75</v>
      </c>
      <c r="G37" s="14"/>
      <c r="H37" s="14">
        <v>14</v>
      </c>
      <c r="I37" s="14">
        <f t="shared" si="1"/>
        <v>69.602</v>
      </c>
      <c r="J37" s="14"/>
      <c r="K37" s="14"/>
      <c r="L37" s="14"/>
      <c r="M37" s="14"/>
      <c r="N37" s="14"/>
      <c r="O37" s="14"/>
    </row>
    <row r="38" s="8" customFormat="1" ht="20" customHeight="1" spans="1:15">
      <c r="A38" s="14">
        <v>34</v>
      </c>
      <c r="B38" s="14" t="s">
        <v>565</v>
      </c>
      <c r="C38" s="14" t="s">
        <v>566</v>
      </c>
      <c r="D38" s="14">
        <v>97.32</v>
      </c>
      <c r="E38" s="14" t="s">
        <v>567</v>
      </c>
      <c r="F38" s="14">
        <v>80</v>
      </c>
      <c r="G38" s="14"/>
      <c r="H38" s="14">
        <v>24</v>
      </c>
      <c r="I38" s="14">
        <f t="shared" si="1"/>
        <v>55.688</v>
      </c>
      <c r="J38" s="14"/>
      <c r="K38" s="14"/>
      <c r="L38" s="14"/>
      <c r="M38" s="14"/>
      <c r="N38" s="14"/>
      <c r="O38" s="14"/>
    </row>
    <row r="39" s="8" customFormat="1" ht="20" customHeight="1" spans="1:15">
      <c r="A39" s="14">
        <v>35</v>
      </c>
      <c r="B39" s="14" t="s">
        <v>568</v>
      </c>
      <c r="C39" s="14" t="s">
        <v>569</v>
      </c>
      <c r="D39" s="14">
        <v>97.29</v>
      </c>
      <c r="E39" s="14" t="s">
        <v>570</v>
      </c>
      <c r="F39" s="14">
        <v>86.25</v>
      </c>
      <c r="G39" s="14"/>
      <c r="H39" s="14">
        <v>24</v>
      </c>
      <c r="I39" s="14">
        <f t="shared" si="1"/>
        <v>54.72</v>
      </c>
      <c r="J39" s="14"/>
      <c r="K39" s="14"/>
      <c r="L39" s="14"/>
      <c r="M39" s="14"/>
      <c r="N39" s="14"/>
      <c r="O39" s="14"/>
    </row>
    <row r="40" s="8" customFormat="1" ht="20" customHeight="1" spans="1:15">
      <c r="A40" s="14">
        <v>36</v>
      </c>
      <c r="B40" s="14" t="s">
        <v>571</v>
      </c>
      <c r="C40" s="14" t="s">
        <v>572</v>
      </c>
      <c r="D40" s="14">
        <v>97.95</v>
      </c>
      <c r="E40" s="14" t="s">
        <v>573</v>
      </c>
      <c r="F40" s="14">
        <v>83.75</v>
      </c>
      <c r="G40" s="14"/>
      <c r="H40" s="14">
        <v>36</v>
      </c>
      <c r="I40" s="14">
        <f t="shared" si="1"/>
        <v>39.83</v>
      </c>
      <c r="J40" s="14"/>
      <c r="K40" s="14"/>
      <c r="L40" s="14"/>
      <c r="M40" s="14"/>
      <c r="N40" s="14"/>
      <c r="O40" s="14"/>
    </row>
    <row r="41" s="8" customFormat="1" ht="20" customHeight="1" spans="1:15">
      <c r="A41" s="14">
        <v>37</v>
      </c>
      <c r="B41" s="14" t="s">
        <v>574</v>
      </c>
      <c r="C41" s="14" t="s">
        <v>575</v>
      </c>
      <c r="D41" s="14">
        <v>97.29</v>
      </c>
      <c r="E41" s="14" t="s">
        <v>576</v>
      </c>
      <c r="F41" s="14">
        <v>33.75</v>
      </c>
      <c r="G41" s="14"/>
      <c r="H41" s="14">
        <v>42</v>
      </c>
      <c r="I41" s="14">
        <f t="shared" si="1"/>
        <v>31.2</v>
      </c>
      <c r="J41" s="14"/>
      <c r="K41" s="14"/>
      <c r="L41" s="14"/>
      <c r="M41" s="14"/>
      <c r="N41" s="14"/>
      <c r="O41" s="14"/>
    </row>
    <row r="42" s="8" customFormat="1" ht="20" customHeight="1" spans="1:15">
      <c r="A42" s="14">
        <v>38</v>
      </c>
      <c r="B42" s="14" t="s">
        <v>577</v>
      </c>
      <c r="C42" s="14" t="s">
        <v>578</v>
      </c>
      <c r="D42" s="14">
        <v>97.79</v>
      </c>
      <c r="E42" s="14" t="s">
        <v>579</v>
      </c>
      <c r="F42" s="14">
        <v>75.75</v>
      </c>
      <c r="G42" s="14"/>
      <c r="H42" s="14">
        <v>45</v>
      </c>
      <c r="I42" s="14">
        <f t="shared" si="1"/>
        <v>30.15</v>
      </c>
      <c r="J42" s="14"/>
      <c r="K42" s="14"/>
      <c r="L42" s="14"/>
      <c r="M42" s="14"/>
      <c r="N42" s="14"/>
      <c r="O42" s="14"/>
    </row>
    <row r="43" spans="1:15">
      <c r="A43" s="19" t="s">
        <v>119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</row>
  </sheetData>
  <mergeCells count="4">
    <mergeCell ref="A1:O1"/>
    <mergeCell ref="A2:O2"/>
    <mergeCell ref="A3:O3"/>
    <mergeCell ref="A43:O43"/>
  </mergeCells>
  <pageMargins left="0.7" right="0.7" top="0.75" bottom="0.75" header="0.3" footer="0.3"/>
  <pageSetup paperSize="9" scale="9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1"/>
  <sheetViews>
    <sheetView workbookViewId="0">
      <selection activeCell="A3" sqref="A3:O3"/>
    </sheetView>
  </sheetViews>
  <sheetFormatPr defaultColWidth="8.88461538461539" defaultRowHeight="16.8"/>
  <cols>
    <col min="2" max="2" width="16.0192307692308" customWidth="1"/>
    <col min="3" max="3" width="11.8557692307692" customWidth="1"/>
    <col min="4" max="4" width="13.9326923076923" customWidth="1"/>
    <col min="5" max="5" width="12.6538461538462" customWidth="1"/>
    <col min="6" max="6" width="14.25" customWidth="1"/>
    <col min="7" max="7" width="14.7403846153846" customWidth="1"/>
    <col min="8" max="8" width="12.3365384615385" customWidth="1"/>
    <col min="9" max="9" width="18.75" customWidth="1"/>
  </cols>
  <sheetData>
    <row r="1" spans="1:1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ht="35" customHeight="1" spans="1:15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ht="24" customHeight="1" spans="1:16">
      <c r="A3" s="39" t="s">
        <v>580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42"/>
    </row>
    <row r="4" ht="85" customHeight="1" spans="1:15">
      <c r="A4" s="40" t="s">
        <v>3</v>
      </c>
      <c r="B4" s="40" t="s">
        <v>4</v>
      </c>
      <c r="C4" s="40" t="s">
        <v>5</v>
      </c>
      <c r="D4" s="40" t="s">
        <v>6</v>
      </c>
      <c r="E4" s="40" t="s">
        <v>7</v>
      </c>
      <c r="F4" s="40" t="s">
        <v>8</v>
      </c>
      <c r="G4" s="40" t="s">
        <v>9</v>
      </c>
      <c r="H4" s="40" t="s">
        <v>10</v>
      </c>
      <c r="I4" s="40" t="s">
        <v>11</v>
      </c>
      <c r="J4" s="40" t="s">
        <v>12</v>
      </c>
      <c r="K4" s="40" t="s">
        <v>13</v>
      </c>
      <c r="L4" s="40" t="s">
        <v>14</v>
      </c>
      <c r="M4" s="40" t="s">
        <v>15</v>
      </c>
      <c r="N4" s="40" t="s">
        <v>16</v>
      </c>
      <c r="O4" s="40" t="s">
        <v>17</v>
      </c>
    </row>
    <row r="5" s="8" customFormat="1" ht="20" customHeight="1" spans="1:15">
      <c r="A5" s="13">
        <v>1</v>
      </c>
      <c r="B5" s="13" t="s">
        <v>581</v>
      </c>
      <c r="C5" s="13" t="s">
        <v>582</v>
      </c>
      <c r="D5" s="13">
        <v>98</v>
      </c>
      <c r="E5" s="13" t="s">
        <v>583</v>
      </c>
      <c r="F5" s="13">
        <v>82.25</v>
      </c>
      <c r="G5" s="13">
        <v>14</v>
      </c>
      <c r="H5" s="13"/>
      <c r="I5" s="13">
        <f t="shared" ref="I5:I40" si="0">D5*0.3+E5*0.6+F5*0.1+G5-H5</f>
        <v>100.525</v>
      </c>
      <c r="J5" s="13"/>
      <c r="K5" s="13"/>
      <c r="L5" s="13"/>
      <c r="M5" s="13"/>
      <c r="N5" s="13" t="s">
        <v>21</v>
      </c>
      <c r="O5" s="13"/>
    </row>
    <row r="6" s="8" customFormat="1" ht="20" customHeight="1" spans="1:15">
      <c r="A6" s="13">
        <v>2</v>
      </c>
      <c r="B6" s="13" t="s">
        <v>584</v>
      </c>
      <c r="C6" s="13" t="s">
        <v>585</v>
      </c>
      <c r="D6" s="13">
        <v>97</v>
      </c>
      <c r="E6" s="13" t="s">
        <v>586</v>
      </c>
      <c r="F6" s="13">
        <v>81</v>
      </c>
      <c r="G6" s="13">
        <v>1</v>
      </c>
      <c r="H6" s="13"/>
      <c r="I6" s="13">
        <f t="shared" si="0"/>
        <v>91.948</v>
      </c>
      <c r="J6" s="13"/>
      <c r="K6" s="13"/>
      <c r="L6" s="13" t="s">
        <v>21</v>
      </c>
      <c r="M6" s="13"/>
      <c r="N6" s="13" t="s">
        <v>21</v>
      </c>
      <c r="O6" s="13"/>
    </row>
    <row r="7" s="8" customFormat="1" ht="20" customHeight="1" spans="1:15">
      <c r="A7" s="13">
        <v>3</v>
      </c>
      <c r="B7" s="13" t="s">
        <v>587</v>
      </c>
      <c r="C7" s="13" t="s">
        <v>588</v>
      </c>
      <c r="D7" s="13">
        <v>98</v>
      </c>
      <c r="E7" s="13" t="s">
        <v>589</v>
      </c>
      <c r="F7" s="13">
        <v>85.75</v>
      </c>
      <c r="G7" s="13">
        <v>3</v>
      </c>
      <c r="H7" s="13"/>
      <c r="I7" s="13">
        <f t="shared" si="0"/>
        <v>91.327</v>
      </c>
      <c r="J7" s="13"/>
      <c r="K7" s="13"/>
      <c r="L7" s="13"/>
      <c r="M7" s="13"/>
      <c r="N7" s="13" t="s">
        <v>21</v>
      </c>
      <c r="O7" s="13"/>
    </row>
    <row r="8" s="8" customFormat="1" ht="20" customHeight="1" spans="1:15">
      <c r="A8" s="13">
        <v>4</v>
      </c>
      <c r="B8" s="13" t="s">
        <v>590</v>
      </c>
      <c r="C8" s="13" t="s">
        <v>591</v>
      </c>
      <c r="D8" s="13">
        <v>97</v>
      </c>
      <c r="E8" s="13" t="s">
        <v>592</v>
      </c>
      <c r="F8" s="13">
        <v>84</v>
      </c>
      <c r="G8" s="13">
        <v>2.5</v>
      </c>
      <c r="H8" s="13"/>
      <c r="I8" s="13">
        <f t="shared" si="0"/>
        <v>90.202</v>
      </c>
      <c r="J8" s="13"/>
      <c r="K8" s="13"/>
      <c r="L8" s="13"/>
      <c r="M8" s="13"/>
      <c r="N8" s="13" t="s">
        <v>21</v>
      </c>
      <c r="O8" s="13"/>
    </row>
    <row r="9" s="8" customFormat="1" ht="20" customHeight="1" spans="1:15">
      <c r="A9" s="13">
        <v>5</v>
      </c>
      <c r="B9" s="13" t="s">
        <v>593</v>
      </c>
      <c r="C9" s="13" t="s">
        <v>594</v>
      </c>
      <c r="D9" s="13">
        <v>95</v>
      </c>
      <c r="E9" s="13" t="s">
        <v>595</v>
      </c>
      <c r="F9" s="13">
        <v>86</v>
      </c>
      <c r="G9" s="13">
        <v>1</v>
      </c>
      <c r="H9" s="13"/>
      <c r="I9" s="13">
        <f t="shared" si="0"/>
        <v>88.248</v>
      </c>
      <c r="J9" s="13"/>
      <c r="K9" s="13"/>
      <c r="L9" s="13"/>
      <c r="M9" s="13"/>
      <c r="N9" s="13"/>
      <c r="O9" s="13" t="s">
        <v>21</v>
      </c>
    </row>
    <row r="10" s="8" customFormat="1" ht="20" customHeight="1" spans="1:15">
      <c r="A10" s="13">
        <v>6</v>
      </c>
      <c r="B10" s="13" t="s">
        <v>596</v>
      </c>
      <c r="C10" s="13" t="s">
        <v>597</v>
      </c>
      <c r="D10" s="13">
        <v>96</v>
      </c>
      <c r="E10" s="13" t="s">
        <v>598</v>
      </c>
      <c r="F10" s="13">
        <v>83</v>
      </c>
      <c r="G10" s="13">
        <v>2</v>
      </c>
      <c r="H10" s="13">
        <v>1</v>
      </c>
      <c r="I10" s="13">
        <f t="shared" si="0"/>
        <v>87.852</v>
      </c>
      <c r="J10" s="13"/>
      <c r="K10" s="13"/>
      <c r="L10" s="13"/>
      <c r="M10" s="13"/>
      <c r="N10" s="13"/>
      <c r="O10" s="13"/>
    </row>
    <row r="11" s="8" customFormat="1" ht="20" customHeight="1" spans="1:15">
      <c r="A11" s="13">
        <v>7</v>
      </c>
      <c r="B11" s="13" t="s">
        <v>599</v>
      </c>
      <c r="C11" s="13" t="s">
        <v>600</v>
      </c>
      <c r="D11" s="13">
        <v>96</v>
      </c>
      <c r="E11" s="13" t="s">
        <v>601</v>
      </c>
      <c r="F11" s="13">
        <v>85.25</v>
      </c>
      <c r="G11" s="13">
        <v>3.5</v>
      </c>
      <c r="H11" s="13">
        <v>2</v>
      </c>
      <c r="I11" s="13">
        <f t="shared" si="0"/>
        <v>87.125</v>
      </c>
      <c r="J11" s="13"/>
      <c r="K11" s="13"/>
      <c r="L11" s="13"/>
      <c r="M11" s="13"/>
      <c r="N11" s="13"/>
      <c r="O11" s="13"/>
    </row>
    <row r="12" s="8" customFormat="1" ht="20" customHeight="1" spans="1:15">
      <c r="A12" s="13">
        <v>8</v>
      </c>
      <c r="B12" s="13" t="s">
        <v>602</v>
      </c>
      <c r="C12" s="13" t="s">
        <v>603</v>
      </c>
      <c r="D12" s="13">
        <v>97</v>
      </c>
      <c r="E12" s="13" t="s">
        <v>604</v>
      </c>
      <c r="F12" s="13">
        <v>82.25</v>
      </c>
      <c r="G12" s="13">
        <v>3</v>
      </c>
      <c r="H12" s="13">
        <v>1</v>
      </c>
      <c r="I12" s="13">
        <f t="shared" si="0"/>
        <v>86.323</v>
      </c>
      <c r="J12" s="13"/>
      <c r="K12" s="13"/>
      <c r="L12" s="13"/>
      <c r="M12" s="13"/>
      <c r="N12" s="13"/>
      <c r="O12" s="13"/>
    </row>
    <row r="13" s="8" customFormat="1" ht="20" customHeight="1" spans="1:15">
      <c r="A13" s="13">
        <v>9</v>
      </c>
      <c r="B13" s="13" t="s">
        <v>605</v>
      </c>
      <c r="C13" s="13" t="s">
        <v>606</v>
      </c>
      <c r="D13" s="13">
        <v>96</v>
      </c>
      <c r="E13" s="13" t="s">
        <v>607</v>
      </c>
      <c r="F13" s="13">
        <v>80.5</v>
      </c>
      <c r="G13" s="13">
        <v>2</v>
      </c>
      <c r="H13" s="13">
        <v>3</v>
      </c>
      <c r="I13" s="13">
        <f t="shared" si="0"/>
        <v>85.752</v>
      </c>
      <c r="J13" s="13"/>
      <c r="K13" s="13"/>
      <c r="L13" s="13"/>
      <c r="M13" s="13"/>
      <c r="N13" s="13"/>
      <c r="O13" s="13"/>
    </row>
    <row r="14" s="8" customFormat="1" ht="20" customHeight="1" spans="1:15">
      <c r="A14" s="13">
        <v>10</v>
      </c>
      <c r="B14" s="13" t="s">
        <v>608</v>
      </c>
      <c r="C14" s="13" t="s">
        <v>609</v>
      </c>
      <c r="D14" s="13">
        <v>95</v>
      </c>
      <c r="E14" s="13" t="s">
        <v>610</v>
      </c>
      <c r="F14" s="13">
        <v>83</v>
      </c>
      <c r="G14" s="13">
        <v>1</v>
      </c>
      <c r="H14" s="13">
        <v>2</v>
      </c>
      <c r="I14" s="13">
        <f t="shared" si="0"/>
        <v>84.952</v>
      </c>
      <c r="J14" s="13"/>
      <c r="K14" s="13"/>
      <c r="L14" s="13"/>
      <c r="M14" s="13"/>
      <c r="N14" s="13"/>
      <c r="O14" s="13"/>
    </row>
    <row r="15" s="8" customFormat="1" ht="20" customHeight="1" spans="1:15">
      <c r="A15" s="13">
        <v>11</v>
      </c>
      <c r="B15" s="13" t="s">
        <v>611</v>
      </c>
      <c r="C15" s="13" t="s">
        <v>612</v>
      </c>
      <c r="D15" s="13">
        <v>97</v>
      </c>
      <c r="E15" s="13" t="s">
        <v>613</v>
      </c>
      <c r="F15" s="13">
        <v>87.25</v>
      </c>
      <c r="G15" s="13"/>
      <c r="H15" s="13">
        <v>1</v>
      </c>
      <c r="I15" s="13">
        <f t="shared" si="0"/>
        <v>84.573</v>
      </c>
      <c r="J15" s="13"/>
      <c r="K15" s="13"/>
      <c r="L15" s="13"/>
      <c r="M15" s="13"/>
      <c r="N15" s="13"/>
      <c r="O15" s="13"/>
    </row>
    <row r="16" s="8" customFormat="1" ht="20" customHeight="1" spans="1:15">
      <c r="A16" s="13">
        <v>12</v>
      </c>
      <c r="B16" s="13" t="s">
        <v>614</v>
      </c>
      <c r="C16" s="13" t="s">
        <v>615</v>
      </c>
      <c r="D16" s="13">
        <v>98</v>
      </c>
      <c r="E16" s="13" t="s">
        <v>616</v>
      </c>
      <c r="F16" s="13">
        <v>81.75</v>
      </c>
      <c r="G16" s="13">
        <v>2.5</v>
      </c>
      <c r="H16" s="13">
        <v>4</v>
      </c>
      <c r="I16" s="13">
        <f t="shared" si="0"/>
        <v>84.525</v>
      </c>
      <c r="J16" s="13"/>
      <c r="K16" s="13"/>
      <c r="L16" s="13"/>
      <c r="M16" s="13"/>
      <c r="N16" s="13"/>
      <c r="O16" s="13"/>
    </row>
    <row r="17" s="8" customFormat="1" ht="20" customHeight="1" spans="1:15">
      <c r="A17" s="13">
        <v>13</v>
      </c>
      <c r="B17" s="13" t="s">
        <v>617</v>
      </c>
      <c r="C17" s="13" t="s">
        <v>618</v>
      </c>
      <c r="D17" s="13">
        <v>95</v>
      </c>
      <c r="E17" s="13" t="s">
        <v>619</v>
      </c>
      <c r="F17" s="13">
        <v>83.75</v>
      </c>
      <c r="G17" s="13"/>
      <c r="H17" s="13">
        <v>3</v>
      </c>
      <c r="I17" s="13">
        <f t="shared" si="0"/>
        <v>84.377</v>
      </c>
      <c r="J17" s="13"/>
      <c r="K17" s="13"/>
      <c r="L17" s="13"/>
      <c r="M17" s="13"/>
      <c r="N17" s="13"/>
      <c r="O17" s="13"/>
    </row>
    <row r="18" s="8" customFormat="1" ht="20" customHeight="1" spans="1:15">
      <c r="A18" s="13">
        <v>14</v>
      </c>
      <c r="B18" s="13" t="s">
        <v>620</v>
      </c>
      <c r="C18" s="13" t="s">
        <v>621</v>
      </c>
      <c r="D18" s="13">
        <v>95</v>
      </c>
      <c r="E18" s="13" t="s">
        <v>622</v>
      </c>
      <c r="F18" s="13">
        <v>76.25</v>
      </c>
      <c r="G18" s="13"/>
      <c r="H18" s="13"/>
      <c r="I18" s="13">
        <f t="shared" si="0"/>
        <v>84.077</v>
      </c>
      <c r="J18" s="13"/>
      <c r="K18" s="13"/>
      <c r="L18" s="13"/>
      <c r="M18" s="13"/>
      <c r="N18" s="13"/>
      <c r="O18" s="13"/>
    </row>
    <row r="19" s="8" customFormat="1" ht="20" customHeight="1" spans="1:15">
      <c r="A19" s="14">
        <v>15</v>
      </c>
      <c r="B19" s="14" t="s">
        <v>623</v>
      </c>
      <c r="C19" s="14" t="s">
        <v>624</v>
      </c>
      <c r="D19" s="14">
        <v>98</v>
      </c>
      <c r="E19" s="14" t="s">
        <v>625</v>
      </c>
      <c r="F19" s="14">
        <v>81</v>
      </c>
      <c r="G19" s="14"/>
      <c r="H19" s="14"/>
      <c r="I19" s="14">
        <f t="shared" si="0"/>
        <v>84</v>
      </c>
      <c r="J19" s="14"/>
      <c r="K19" s="14"/>
      <c r="L19" s="14"/>
      <c r="M19" s="14"/>
      <c r="N19" s="14"/>
      <c r="O19" s="14"/>
    </row>
    <row r="20" s="8" customFormat="1" ht="20" customHeight="1" spans="1:15">
      <c r="A20" s="14">
        <v>16</v>
      </c>
      <c r="B20" s="14" t="s">
        <v>626</v>
      </c>
      <c r="C20" s="14" t="s">
        <v>627</v>
      </c>
      <c r="D20" s="14">
        <v>95.5</v>
      </c>
      <c r="E20" s="14" t="s">
        <v>628</v>
      </c>
      <c r="F20" s="14">
        <v>83.5</v>
      </c>
      <c r="G20" s="14">
        <v>1</v>
      </c>
      <c r="H20" s="14">
        <v>1</v>
      </c>
      <c r="I20" s="14">
        <f t="shared" si="0"/>
        <v>83.752</v>
      </c>
      <c r="J20" s="14"/>
      <c r="K20" s="14"/>
      <c r="L20" s="14"/>
      <c r="M20" s="14"/>
      <c r="N20" s="14"/>
      <c r="O20" s="14"/>
    </row>
    <row r="21" s="8" customFormat="1" ht="20" customHeight="1" spans="1:15">
      <c r="A21" s="14">
        <v>17</v>
      </c>
      <c r="B21" s="14" t="s">
        <v>629</v>
      </c>
      <c r="C21" s="14" t="s">
        <v>630</v>
      </c>
      <c r="D21" s="14">
        <v>95</v>
      </c>
      <c r="E21" s="14" t="s">
        <v>631</v>
      </c>
      <c r="F21" s="14">
        <v>82.75</v>
      </c>
      <c r="G21" s="14"/>
      <c r="H21" s="14">
        <v>3</v>
      </c>
      <c r="I21" s="14">
        <f t="shared" si="0"/>
        <v>81.925</v>
      </c>
      <c r="J21" s="14"/>
      <c r="K21" s="14"/>
      <c r="L21" s="14"/>
      <c r="M21" s="14"/>
      <c r="N21" s="14"/>
      <c r="O21" s="14"/>
    </row>
    <row r="22" s="8" customFormat="1" ht="20" customHeight="1" spans="1:15">
      <c r="A22" s="14">
        <v>18</v>
      </c>
      <c r="B22" s="14" t="s">
        <v>632</v>
      </c>
      <c r="C22" s="14" t="s">
        <v>633</v>
      </c>
      <c r="D22" s="14">
        <v>94</v>
      </c>
      <c r="E22" s="14" t="s">
        <v>634</v>
      </c>
      <c r="F22" s="14">
        <v>75.75</v>
      </c>
      <c r="G22" s="14"/>
      <c r="H22" s="14">
        <v>2</v>
      </c>
      <c r="I22" s="14">
        <f t="shared" si="0"/>
        <v>81.325</v>
      </c>
      <c r="J22" s="14"/>
      <c r="K22" s="14"/>
      <c r="L22" s="14"/>
      <c r="M22" s="14"/>
      <c r="N22" s="14"/>
      <c r="O22" s="14"/>
    </row>
    <row r="23" s="8" customFormat="1" ht="20" customHeight="1" spans="1:15">
      <c r="A23" s="14">
        <v>19</v>
      </c>
      <c r="B23" s="14" t="s">
        <v>635</v>
      </c>
      <c r="C23" s="14" t="s">
        <v>636</v>
      </c>
      <c r="D23" s="14">
        <v>96</v>
      </c>
      <c r="E23" s="14" t="s">
        <v>314</v>
      </c>
      <c r="F23" s="14">
        <v>72.75</v>
      </c>
      <c r="G23" s="14"/>
      <c r="H23" s="14">
        <v>2</v>
      </c>
      <c r="I23" s="14">
        <f t="shared" si="0"/>
        <v>79.675</v>
      </c>
      <c r="J23" s="14"/>
      <c r="K23" s="14"/>
      <c r="L23" s="14"/>
      <c r="M23" s="14"/>
      <c r="N23" s="14"/>
      <c r="O23" s="14"/>
    </row>
    <row r="24" s="8" customFormat="1" ht="20" customHeight="1" spans="1:15">
      <c r="A24" s="14">
        <v>20</v>
      </c>
      <c r="B24" s="14" t="s">
        <v>637</v>
      </c>
      <c r="C24" s="14" t="s">
        <v>638</v>
      </c>
      <c r="D24" s="14">
        <v>95</v>
      </c>
      <c r="E24" s="14" t="s">
        <v>639</v>
      </c>
      <c r="F24" s="14">
        <v>89.75</v>
      </c>
      <c r="G24" s="14">
        <v>3.5</v>
      </c>
      <c r="H24" s="14">
        <v>7</v>
      </c>
      <c r="I24" s="14">
        <f t="shared" si="0"/>
        <v>79.275</v>
      </c>
      <c r="J24" s="14"/>
      <c r="K24" s="14"/>
      <c r="L24" s="14"/>
      <c r="M24" s="14"/>
      <c r="N24" s="14"/>
      <c r="O24" s="14"/>
    </row>
    <row r="25" s="8" customFormat="1" ht="20" customHeight="1" spans="1:15">
      <c r="A25" s="14">
        <v>21</v>
      </c>
      <c r="B25" s="14" t="s">
        <v>640</v>
      </c>
      <c r="C25" s="14" t="s">
        <v>641</v>
      </c>
      <c r="D25" s="14">
        <v>96</v>
      </c>
      <c r="E25" s="14" t="s">
        <v>642</v>
      </c>
      <c r="F25" s="14">
        <v>88.5</v>
      </c>
      <c r="G25" s="14">
        <v>1</v>
      </c>
      <c r="H25" s="14">
        <v>8</v>
      </c>
      <c r="I25" s="14">
        <f t="shared" si="0"/>
        <v>77.552</v>
      </c>
      <c r="J25" s="14"/>
      <c r="K25" s="14"/>
      <c r="L25" s="14"/>
      <c r="M25" s="14"/>
      <c r="N25" s="14"/>
      <c r="O25" s="14"/>
    </row>
    <row r="26" s="8" customFormat="1" ht="20" customHeight="1" spans="1:15">
      <c r="A26" s="14">
        <v>22</v>
      </c>
      <c r="B26" s="14" t="s">
        <v>643</v>
      </c>
      <c r="C26" s="14" t="s">
        <v>644</v>
      </c>
      <c r="D26" s="14">
        <v>96</v>
      </c>
      <c r="E26" s="14" t="s">
        <v>109</v>
      </c>
      <c r="F26" s="14">
        <v>83</v>
      </c>
      <c r="G26" s="14"/>
      <c r="H26" s="14">
        <v>7</v>
      </c>
      <c r="I26" s="14">
        <f t="shared" si="0"/>
        <v>77.5</v>
      </c>
      <c r="J26" s="14"/>
      <c r="K26" s="14"/>
      <c r="L26" s="14"/>
      <c r="M26" s="14"/>
      <c r="N26" s="14"/>
      <c r="O26" s="14"/>
    </row>
    <row r="27" s="8" customFormat="1" ht="20" customHeight="1" spans="1:15">
      <c r="A27" s="14">
        <v>23</v>
      </c>
      <c r="B27" s="14" t="s">
        <v>645</v>
      </c>
      <c r="C27" s="14" t="s">
        <v>646</v>
      </c>
      <c r="D27" s="14">
        <v>95.4</v>
      </c>
      <c r="E27" s="14" t="s">
        <v>182</v>
      </c>
      <c r="F27" s="14">
        <v>82.5</v>
      </c>
      <c r="G27" s="14"/>
      <c r="H27" s="14">
        <v>8</v>
      </c>
      <c r="I27" s="14">
        <f t="shared" si="0"/>
        <v>76.87</v>
      </c>
      <c r="J27" s="14"/>
      <c r="K27" s="14"/>
      <c r="L27" s="14"/>
      <c r="M27" s="14"/>
      <c r="N27" s="14"/>
      <c r="O27" s="14"/>
    </row>
    <row r="28" s="8" customFormat="1" ht="20" customHeight="1" spans="1:15">
      <c r="A28" s="14">
        <v>24</v>
      </c>
      <c r="B28" s="14" t="s">
        <v>647</v>
      </c>
      <c r="C28" s="14" t="s">
        <v>648</v>
      </c>
      <c r="D28" s="14">
        <v>95</v>
      </c>
      <c r="E28" s="14" t="s">
        <v>649</v>
      </c>
      <c r="F28" s="14">
        <v>89.25</v>
      </c>
      <c r="G28" s="14">
        <v>2</v>
      </c>
      <c r="H28" s="14">
        <v>9</v>
      </c>
      <c r="I28" s="14">
        <f t="shared" si="0"/>
        <v>75.473</v>
      </c>
      <c r="J28" s="14"/>
      <c r="K28" s="14"/>
      <c r="L28" s="14"/>
      <c r="M28" s="14"/>
      <c r="N28" s="14"/>
      <c r="O28" s="14"/>
    </row>
    <row r="29" s="8" customFormat="1" ht="20" customHeight="1" spans="1:15">
      <c r="A29" s="14">
        <v>25</v>
      </c>
      <c r="B29" s="14" t="s">
        <v>650</v>
      </c>
      <c r="C29" s="14" t="s">
        <v>651</v>
      </c>
      <c r="D29" s="14">
        <v>93</v>
      </c>
      <c r="E29" s="14" t="s">
        <v>652</v>
      </c>
      <c r="F29" s="14">
        <v>81.25</v>
      </c>
      <c r="G29" s="14"/>
      <c r="H29" s="14">
        <v>6</v>
      </c>
      <c r="I29" s="14">
        <f t="shared" si="0"/>
        <v>75.427</v>
      </c>
      <c r="J29" s="14"/>
      <c r="K29" s="14"/>
      <c r="L29" s="14"/>
      <c r="M29" s="14"/>
      <c r="N29" s="14"/>
      <c r="O29" s="14"/>
    </row>
    <row r="30" s="8" customFormat="1" ht="20" customHeight="1" spans="1:15">
      <c r="A30" s="14">
        <v>26</v>
      </c>
      <c r="B30" s="14" t="s">
        <v>653</v>
      </c>
      <c r="C30" s="14" t="s">
        <v>654</v>
      </c>
      <c r="D30" s="14">
        <v>96</v>
      </c>
      <c r="E30" s="14" t="s">
        <v>655</v>
      </c>
      <c r="F30" s="14">
        <v>80.25</v>
      </c>
      <c r="G30" s="14">
        <v>1</v>
      </c>
      <c r="H30" s="14">
        <v>11</v>
      </c>
      <c r="I30" s="14">
        <f t="shared" si="0"/>
        <v>72.527</v>
      </c>
      <c r="J30" s="14"/>
      <c r="K30" s="14"/>
      <c r="L30" s="14"/>
      <c r="M30" s="14"/>
      <c r="N30" s="14"/>
      <c r="O30" s="14"/>
    </row>
    <row r="31" s="8" customFormat="1" ht="20" customHeight="1" spans="1:15">
      <c r="A31" s="14">
        <v>27</v>
      </c>
      <c r="B31" s="14" t="s">
        <v>656</v>
      </c>
      <c r="C31" s="14" t="s">
        <v>657</v>
      </c>
      <c r="D31" s="14">
        <v>95</v>
      </c>
      <c r="E31" s="14" t="s">
        <v>658</v>
      </c>
      <c r="F31" s="14">
        <v>82.75</v>
      </c>
      <c r="G31" s="14"/>
      <c r="H31" s="14">
        <v>9</v>
      </c>
      <c r="I31" s="14">
        <f t="shared" si="0"/>
        <v>72.073</v>
      </c>
      <c r="J31" s="14"/>
      <c r="K31" s="14"/>
      <c r="L31" s="14"/>
      <c r="M31" s="14"/>
      <c r="N31" s="14"/>
      <c r="O31" s="14"/>
    </row>
    <row r="32" s="8" customFormat="1" ht="20" customHeight="1" spans="1:15">
      <c r="A32" s="14">
        <v>28</v>
      </c>
      <c r="B32" s="14" t="s">
        <v>659</v>
      </c>
      <c r="C32" s="14" t="s">
        <v>660</v>
      </c>
      <c r="D32" s="14">
        <v>96</v>
      </c>
      <c r="E32" s="14" t="s">
        <v>661</v>
      </c>
      <c r="F32" s="14">
        <v>87</v>
      </c>
      <c r="G32" s="14"/>
      <c r="H32" s="14">
        <v>13</v>
      </c>
      <c r="I32" s="14">
        <f t="shared" si="0"/>
        <v>71.75</v>
      </c>
      <c r="J32" s="14"/>
      <c r="K32" s="14"/>
      <c r="L32" s="14"/>
      <c r="M32" s="14"/>
      <c r="N32" s="14"/>
      <c r="O32" s="14"/>
    </row>
    <row r="33" s="8" customFormat="1" ht="20" customHeight="1" spans="1:15">
      <c r="A33" s="14">
        <v>29</v>
      </c>
      <c r="B33" s="14" t="s">
        <v>662</v>
      </c>
      <c r="C33" s="14" t="s">
        <v>663</v>
      </c>
      <c r="D33" s="14">
        <v>96</v>
      </c>
      <c r="E33" s="14" t="s">
        <v>664</v>
      </c>
      <c r="F33" s="14">
        <v>86.75</v>
      </c>
      <c r="G33" s="14"/>
      <c r="H33" s="14">
        <v>11</v>
      </c>
      <c r="I33" s="14">
        <f t="shared" si="0"/>
        <v>70.977</v>
      </c>
      <c r="J33" s="14"/>
      <c r="K33" s="14"/>
      <c r="L33" s="14"/>
      <c r="M33" s="14"/>
      <c r="N33" s="14"/>
      <c r="O33" s="14"/>
    </row>
    <row r="34" s="8" customFormat="1" ht="20" customHeight="1" spans="1:15">
      <c r="A34" s="14">
        <v>30</v>
      </c>
      <c r="B34" s="14" t="s">
        <v>665</v>
      </c>
      <c r="C34" s="14" t="s">
        <v>666</v>
      </c>
      <c r="D34" s="14">
        <v>95</v>
      </c>
      <c r="E34" s="14" t="s">
        <v>655</v>
      </c>
      <c r="F34" s="14">
        <v>75.5</v>
      </c>
      <c r="G34" s="14"/>
      <c r="H34" s="14">
        <v>11</v>
      </c>
      <c r="I34" s="14">
        <f t="shared" si="0"/>
        <v>70.752</v>
      </c>
      <c r="J34" s="14"/>
      <c r="K34" s="14"/>
      <c r="L34" s="14"/>
      <c r="M34" s="14"/>
      <c r="N34" s="14"/>
      <c r="O34" s="14"/>
    </row>
    <row r="35" s="8" customFormat="1" ht="20" customHeight="1" spans="1:15">
      <c r="A35" s="14">
        <v>31</v>
      </c>
      <c r="B35" s="14" t="s">
        <v>667</v>
      </c>
      <c r="C35" s="14" t="s">
        <v>668</v>
      </c>
      <c r="D35" s="14">
        <v>95</v>
      </c>
      <c r="E35" s="14" t="s">
        <v>669</v>
      </c>
      <c r="F35" s="14">
        <v>78.25</v>
      </c>
      <c r="G35" s="14"/>
      <c r="H35" s="14">
        <v>11</v>
      </c>
      <c r="I35" s="14">
        <f t="shared" si="0"/>
        <v>69.473</v>
      </c>
      <c r="J35" s="14"/>
      <c r="K35" s="14"/>
      <c r="L35" s="14"/>
      <c r="M35" s="14"/>
      <c r="N35" s="14"/>
      <c r="O35" s="14"/>
    </row>
    <row r="36" s="8" customFormat="1" ht="20" customHeight="1" spans="1:15">
      <c r="A36" s="14">
        <v>32</v>
      </c>
      <c r="B36" s="14" t="s">
        <v>670</v>
      </c>
      <c r="C36" s="14" t="s">
        <v>671</v>
      </c>
      <c r="D36" s="14">
        <v>94</v>
      </c>
      <c r="E36" s="14" t="s">
        <v>652</v>
      </c>
      <c r="F36" s="14">
        <v>83.5</v>
      </c>
      <c r="G36" s="14"/>
      <c r="H36" s="14">
        <v>14</v>
      </c>
      <c r="I36" s="14">
        <f t="shared" si="0"/>
        <v>67.952</v>
      </c>
      <c r="J36" s="14"/>
      <c r="K36" s="14"/>
      <c r="L36" s="14"/>
      <c r="M36" s="14"/>
      <c r="N36" s="14"/>
      <c r="O36" s="14"/>
    </row>
    <row r="37" s="8" customFormat="1" ht="20" customHeight="1" spans="1:15">
      <c r="A37" s="14">
        <v>33</v>
      </c>
      <c r="B37" s="14" t="s">
        <v>672</v>
      </c>
      <c r="C37" s="14" t="s">
        <v>673</v>
      </c>
      <c r="D37" s="14">
        <v>94.5</v>
      </c>
      <c r="E37" s="14" t="s">
        <v>674</v>
      </c>
      <c r="F37" s="14">
        <v>79</v>
      </c>
      <c r="G37" s="14"/>
      <c r="H37" s="14">
        <v>15</v>
      </c>
      <c r="I37" s="14">
        <f t="shared" si="0"/>
        <v>67.498</v>
      </c>
      <c r="J37" s="14"/>
      <c r="K37" s="14"/>
      <c r="L37" s="14"/>
      <c r="M37" s="14"/>
      <c r="N37" s="14"/>
      <c r="O37" s="14"/>
    </row>
    <row r="38" s="8" customFormat="1" ht="20" customHeight="1" spans="1:15">
      <c r="A38" s="14">
        <v>34</v>
      </c>
      <c r="B38" s="14" t="s">
        <v>675</v>
      </c>
      <c r="C38" s="14" t="s">
        <v>676</v>
      </c>
      <c r="D38" s="14">
        <v>95</v>
      </c>
      <c r="E38" s="14" t="s">
        <v>677</v>
      </c>
      <c r="F38" s="14">
        <v>71.75</v>
      </c>
      <c r="G38" s="14"/>
      <c r="H38" s="14">
        <v>18</v>
      </c>
      <c r="I38" s="14">
        <f t="shared" si="0"/>
        <v>60.227</v>
      </c>
      <c r="J38" s="14"/>
      <c r="K38" s="14"/>
      <c r="L38" s="14"/>
      <c r="M38" s="14"/>
      <c r="N38" s="14"/>
      <c r="O38" s="14"/>
    </row>
    <row r="39" s="8" customFormat="1" ht="20" customHeight="1" spans="1:15">
      <c r="A39" s="14">
        <v>35</v>
      </c>
      <c r="B39" s="14" t="s">
        <v>678</v>
      </c>
      <c r="C39" s="14" t="s">
        <v>679</v>
      </c>
      <c r="D39" s="14">
        <v>93</v>
      </c>
      <c r="E39" s="14" t="s">
        <v>680</v>
      </c>
      <c r="F39" s="14">
        <v>75.5</v>
      </c>
      <c r="G39" s="14"/>
      <c r="H39" s="14">
        <v>19</v>
      </c>
      <c r="I39" s="14">
        <f t="shared" si="0"/>
        <v>58.498</v>
      </c>
      <c r="J39" s="14"/>
      <c r="K39" s="14"/>
      <c r="L39" s="14"/>
      <c r="M39" s="14"/>
      <c r="N39" s="14"/>
      <c r="O39" s="14"/>
    </row>
    <row r="40" s="8" customFormat="1" ht="20" customHeight="1" spans="1:15">
      <c r="A40" s="14">
        <v>36</v>
      </c>
      <c r="B40" s="14" t="s">
        <v>681</v>
      </c>
      <c r="C40" s="14" t="s">
        <v>682</v>
      </c>
      <c r="D40" s="14">
        <v>94</v>
      </c>
      <c r="E40" s="14" t="s">
        <v>106</v>
      </c>
      <c r="F40" s="14">
        <v>85.5</v>
      </c>
      <c r="G40" s="14"/>
      <c r="H40" s="14">
        <v>32</v>
      </c>
      <c r="I40" s="14">
        <f t="shared" si="0"/>
        <v>46.15</v>
      </c>
      <c r="J40" s="14"/>
      <c r="K40" s="14"/>
      <c r="L40" s="14"/>
      <c r="M40" s="14"/>
      <c r="N40" s="14"/>
      <c r="O40" s="14"/>
    </row>
    <row r="41" spans="1:15">
      <c r="A41" s="19" t="s">
        <v>119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</row>
  </sheetData>
  <mergeCells count="4">
    <mergeCell ref="A1:O1"/>
    <mergeCell ref="A2:O2"/>
    <mergeCell ref="A3:O3"/>
    <mergeCell ref="A41:O4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"/>
  <sheetViews>
    <sheetView workbookViewId="0">
      <selection activeCell="N19" sqref="N19"/>
    </sheetView>
  </sheetViews>
  <sheetFormatPr defaultColWidth="9" defaultRowHeight="16.8"/>
  <cols>
    <col min="2" max="2" width="15.8653846153846" customWidth="1"/>
    <col min="3" max="3" width="10.5769230769231" customWidth="1"/>
    <col min="4" max="4" width="13.625" customWidth="1"/>
    <col min="5" max="5" width="14.1057692307692" customWidth="1"/>
    <col min="6" max="6" width="13.4615384615385" customWidth="1"/>
    <col min="7" max="7" width="12.8173076923077" customWidth="1"/>
    <col min="8" max="8" width="12.0192307692308" customWidth="1"/>
    <col min="9" max="9" width="18.5865384615385" customWidth="1"/>
  </cols>
  <sheetData>
    <row r="1" ht="20" customHeight="1" spans="1:1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ht="39" customHeight="1" spans="1:1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ht="34" customHeight="1" spans="1:15">
      <c r="A3" s="18" t="s">
        <v>683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ht="70" customHeight="1" spans="1:1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</row>
    <row r="5" s="8" customFormat="1" ht="20" customHeight="1" spans="1:15">
      <c r="A5" s="13">
        <v>1</v>
      </c>
      <c r="B5" s="13" t="s">
        <v>684</v>
      </c>
      <c r="C5" s="13" t="s">
        <v>685</v>
      </c>
      <c r="D5" s="13">
        <v>96.1515151515152</v>
      </c>
      <c r="E5" s="13">
        <v>92.5</v>
      </c>
      <c r="F5" s="13">
        <v>80.5</v>
      </c>
      <c r="G5" s="13">
        <v>46</v>
      </c>
      <c r="H5" s="13"/>
      <c r="I5" s="13">
        <f t="shared" ref="I5:I38" si="0">D5*0.3+E5*0.6+F5*0.1+G5-H5</f>
        <v>138.395454545455</v>
      </c>
      <c r="J5" s="13"/>
      <c r="K5" s="13" t="s">
        <v>21</v>
      </c>
      <c r="L5" s="13"/>
      <c r="M5" s="13"/>
      <c r="N5" s="13" t="s">
        <v>21</v>
      </c>
      <c r="O5" s="13"/>
    </row>
    <row r="6" s="8" customFormat="1" ht="20" customHeight="1" spans="1:15">
      <c r="A6" s="13">
        <v>2</v>
      </c>
      <c r="B6" s="13" t="s">
        <v>686</v>
      </c>
      <c r="C6" s="13" t="s">
        <v>687</v>
      </c>
      <c r="D6" s="13">
        <v>96.8484848484848</v>
      </c>
      <c r="E6" s="13">
        <v>89.08</v>
      </c>
      <c r="F6" s="13">
        <v>89.25</v>
      </c>
      <c r="G6" s="13">
        <v>31</v>
      </c>
      <c r="H6" s="13"/>
      <c r="I6" s="13">
        <f t="shared" si="0"/>
        <v>122.427545454545</v>
      </c>
      <c r="J6" s="13"/>
      <c r="K6" s="13"/>
      <c r="L6" s="13" t="s">
        <v>21</v>
      </c>
      <c r="M6" s="13"/>
      <c r="N6" s="13" t="s">
        <v>21</v>
      </c>
      <c r="O6" s="13"/>
    </row>
    <row r="7" s="8" customFormat="1" ht="20" customHeight="1" spans="1:15">
      <c r="A7" s="13">
        <v>3</v>
      </c>
      <c r="B7" s="13" t="s">
        <v>688</v>
      </c>
      <c r="C7" s="13" t="s">
        <v>689</v>
      </c>
      <c r="D7" s="13">
        <v>95.1212121212121</v>
      </c>
      <c r="E7" s="13">
        <v>89.17</v>
      </c>
      <c r="F7" s="13">
        <v>87.5</v>
      </c>
      <c r="G7" s="13">
        <v>21</v>
      </c>
      <c r="H7" s="13"/>
      <c r="I7" s="13">
        <f t="shared" si="0"/>
        <v>111.788363636364</v>
      </c>
      <c r="J7" s="13"/>
      <c r="K7" s="13"/>
      <c r="L7" s="13" t="s">
        <v>21</v>
      </c>
      <c r="M7" s="13"/>
      <c r="N7" s="13" t="s">
        <v>21</v>
      </c>
      <c r="O7" s="13"/>
    </row>
    <row r="8" s="8" customFormat="1" ht="20" customHeight="1" spans="1:15">
      <c r="A8" s="13">
        <v>4</v>
      </c>
      <c r="B8" s="13" t="s">
        <v>690</v>
      </c>
      <c r="C8" s="13" t="s">
        <v>691</v>
      </c>
      <c r="D8" s="13">
        <v>95.969696969697</v>
      </c>
      <c r="E8" s="13">
        <v>87.92</v>
      </c>
      <c r="F8" s="13">
        <v>92.5</v>
      </c>
      <c r="G8" s="13">
        <v>12</v>
      </c>
      <c r="H8" s="13"/>
      <c r="I8" s="13">
        <f t="shared" si="0"/>
        <v>102.792909090909</v>
      </c>
      <c r="J8" s="13"/>
      <c r="K8" s="13"/>
      <c r="L8" s="13"/>
      <c r="M8" s="13" t="s">
        <v>21</v>
      </c>
      <c r="N8" s="13" t="s">
        <v>21</v>
      </c>
      <c r="O8" s="13"/>
    </row>
    <row r="9" s="8" customFormat="1" ht="20" customHeight="1" spans="1:15">
      <c r="A9" s="13">
        <v>5</v>
      </c>
      <c r="B9" s="13" t="s">
        <v>692</v>
      </c>
      <c r="C9" s="13" t="s">
        <v>693</v>
      </c>
      <c r="D9" s="13">
        <v>96.0606060606061</v>
      </c>
      <c r="E9" s="13">
        <v>84.67</v>
      </c>
      <c r="F9" s="13">
        <v>72.5</v>
      </c>
      <c r="G9" s="13">
        <v>10</v>
      </c>
      <c r="H9" s="13"/>
      <c r="I9" s="13">
        <f t="shared" si="0"/>
        <v>96.8701818181818</v>
      </c>
      <c r="J9" s="13"/>
      <c r="K9" s="13"/>
      <c r="L9" s="13"/>
      <c r="M9" s="13"/>
      <c r="N9" s="13"/>
      <c r="O9" s="13"/>
    </row>
    <row r="10" s="8" customFormat="1" ht="20" customHeight="1" spans="1:15">
      <c r="A10" s="13">
        <v>6</v>
      </c>
      <c r="B10" s="13" t="s">
        <v>694</v>
      </c>
      <c r="C10" s="13" t="s">
        <v>695</v>
      </c>
      <c r="D10" s="13">
        <v>95.6666666666667</v>
      </c>
      <c r="E10" s="13">
        <v>88.17</v>
      </c>
      <c r="F10" s="13">
        <v>84.75</v>
      </c>
      <c r="G10" s="13">
        <v>2.5</v>
      </c>
      <c r="H10" s="13"/>
      <c r="I10" s="13">
        <f t="shared" si="0"/>
        <v>92.577</v>
      </c>
      <c r="J10" s="13"/>
      <c r="K10" s="13"/>
      <c r="L10" s="13"/>
      <c r="M10" s="13" t="s">
        <v>21</v>
      </c>
      <c r="N10" s="13" t="s">
        <v>21</v>
      </c>
      <c r="O10" s="13"/>
    </row>
    <row r="11" s="8" customFormat="1" ht="20" customHeight="1" spans="1:15">
      <c r="A11" s="13">
        <v>7</v>
      </c>
      <c r="B11" s="13" t="s">
        <v>696</v>
      </c>
      <c r="C11" s="13" t="s">
        <v>697</v>
      </c>
      <c r="D11" s="13">
        <v>96.0909090909091</v>
      </c>
      <c r="E11" s="13">
        <v>87.25</v>
      </c>
      <c r="F11" s="13">
        <v>89.75</v>
      </c>
      <c r="G11" s="13">
        <v>1.5</v>
      </c>
      <c r="H11" s="13"/>
      <c r="I11" s="13">
        <f t="shared" si="0"/>
        <v>91.6522727272727</v>
      </c>
      <c r="J11" s="13"/>
      <c r="K11" s="13"/>
      <c r="L11" s="13"/>
      <c r="M11" s="13" t="s">
        <v>21</v>
      </c>
      <c r="N11" s="13"/>
      <c r="O11" s="13"/>
    </row>
    <row r="12" s="8" customFormat="1" ht="20" customHeight="1" spans="1:15">
      <c r="A12" s="13">
        <v>8</v>
      </c>
      <c r="B12" s="13" t="s">
        <v>698</v>
      </c>
      <c r="C12" s="13" t="s">
        <v>699</v>
      </c>
      <c r="D12" s="13">
        <v>95.8787878787879</v>
      </c>
      <c r="E12" s="13">
        <v>85.58</v>
      </c>
      <c r="F12" s="13">
        <v>86</v>
      </c>
      <c r="G12" s="13">
        <v>10</v>
      </c>
      <c r="H12" s="13">
        <v>8</v>
      </c>
      <c r="I12" s="13">
        <f t="shared" si="0"/>
        <v>90.7116363636364</v>
      </c>
      <c r="J12" s="13"/>
      <c r="K12" s="13"/>
      <c r="L12" s="13"/>
      <c r="M12" s="13"/>
      <c r="N12" s="13"/>
      <c r="O12" s="13"/>
    </row>
    <row r="13" s="8" customFormat="1" ht="20" customHeight="1" spans="1:15">
      <c r="A13" s="13">
        <v>9</v>
      </c>
      <c r="B13" s="13" t="s">
        <v>700</v>
      </c>
      <c r="C13" s="13" t="s">
        <v>701</v>
      </c>
      <c r="D13" s="13">
        <v>95.7272727272727</v>
      </c>
      <c r="E13" s="13">
        <v>85.75</v>
      </c>
      <c r="F13" s="13">
        <v>87.75</v>
      </c>
      <c r="G13" s="13">
        <v>1.5</v>
      </c>
      <c r="H13" s="13"/>
      <c r="I13" s="13">
        <f t="shared" si="0"/>
        <v>90.4431818181818</v>
      </c>
      <c r="J13" s="13"/>
      <c r="K13" s="13"/>
      <c r="L13" s="13"/>
      <c r="M13" s="13"/>
      <c r="N13" s="13"/>
      <c r="O13" s="13"/>
    </row>
    <row r="14" s="8" customFormat="1" ht="20" customHeight="1" spans="1:15">
      <c r="A14" s="13">
        <v>10</v>
      </c>
      <c r="B14" s="13" t="s">
        <v>702</v>
      </c>
      <c r="C14" s="13" t="s">
        <v>703</v>
      </c>
      <c r="D14" s="13">
        <v>94.4242424242424</v>
      </c>
      <c r="E14" s="13">
        <v>86</v>
      </c>
      <c r="F14" s="13">
        <v>83.5</v>
      </c>
      <c r="G14" s="13">
        <v>1.5</v>
      </c>
      <c r="H14" s="13"/>
      <c r="I14" s="13">
        <f t="shared" si="0"/>
        <v>89.7772727272727</v>
      </c>
      <c r="J14" s="13"/>
      <c r="K14" s="13"/>
      <c r="L14" s="13"/>
      <c r="M14" s="13"/>
      <c r="N14" s="13"/>
      <c r="O14" s="13"/>
    </row>
    <row r="15" s="8" customFormat="1" ht="20" customHeight="1" spans="1:15">
      <c r="A15" s="13">
        <v>11</v>
      </c>
      <c r="B15" s="13" t="s">
        <v>704</v>
      </c>
      <c r="C15" s="13" t="s">
        <v>705</v>
      </c>
      <c r="D15" s="13">
        <v>95.5454545454545</v>
      </c>
      <c r="E15" s="13">
        <v>86.83</v>
      </c>
      <c r="F15" s="13">
        <v>83.5</v>
      </c>
      <c r="G15" s="13"/>
      <c r="H15" s="13"/>
      <c r="I15" s="13">
        <f t="shared" si="0"/>
        <v>89.1116363636363</v>
      </c>
      <c r="J15" s="13"/>
      <c r="K15" s="13"/>
      <c r="L15" s="13"/>
      <c r="M15" s="13"/>
      <c r="N15" s="13"/>
      <c r="O15" s="13"/>
    </row>
    <row r="16" s="8" customFormat="1" ht="20" customHeight="1" spans="1:15">
      <c r="A16" s="13">
        <v>12</v>
      </c>
      <c r="B16" s="13" t="s">
        <v>706</v>
      </c>
      <c r="C16" s="13" t="s">
        <v>707</v>
      </c>
      <c r="D16" s="13">
        <v>95.6363636363636</v>
      </c>
      <c r="E16" s="13">
        <v>86.08</v>
      </c>
      <c r="F16" s="13">
        <v>85.75</v>
      </c>
      <c r="G16" s="13"/>
      <c r="H16" s="13"/>
      <c r="I16" s="13">
        <f t="shared" si="0"/>
        <v>88.9139090909091</v>
      </c>
      <c r="J16" s="13"/>
      <c r="K16" s="13"/>
      <c r="L16" s="13"/>
      <c r="M16" s="13"/>
      <c r="N16" s="13"/>
      <c r="O16" s="13"/>
    </row>
    <row r="17" s="8" customFormat="1" ht="20" customHeight="1" spans="1:15">
      <c r="A17" s="13">
        <v>13</v>
      </c>
      <c r="B17" s="13" t="s">
        <v>708</v>
      </c>
      <c r="C17" s="13" t="s">
        <v>709</v>
      </c>
      <c r="D17" s="13">
        <v>95.9090909090909</v>
      </c>
      <c r="E17" s="13">
        <v>84.25</v>
      </c>
      <c r="F17" s="13">
        <v>84.75</v>
      </c>
      <c r="G17" s="13">
        <v>1.5</v>
      </c>
      <c r="H17" s="13">
        <v>2</v>
      </c>
      <c r="I17" s="13">
        <f t="shared" si="0"/>
        <v>87.2977272727273</v>
      </c>
      <c r="J17" s="13"/>
      <c r="K17" s="13"/>
      <c r="L17" s="13"/>
      <c r="M17" s="13"/>
      <c r="N17" s="13"/>
      <c r="O17" s="13"/>
    </row>
    <row r="18" s="8" customFormat="1" ht="20" customHeight="1" spans="1:15">
      <c r="A18" s="21">
        <v>14</v>
      </c>
      <c r="B18" s="21" t="s">
        <v>710</v>
      </c>
      <c r="C18" s="21" t="s">
        <v>711</v>
      </c>
      <c r="D18" s="21">
        <v>95.969696969697</v>
      </c>
      <c r="E18" s="21">
        <v>83.33</v>
      </c>
      <c r="F18" s="21">
        <v>87.5</v>
      </c>
      <c r="G18" s="21">
        <v>1.5</v>
      </c>
      <c r="H18" s="21">
        <v>2</v>
      </c>
      <c r="I18" s="21">
        <f t="shared" si="0"/>
        <v>87.0389090909091</v>
      </c>
      <c r="J18" s="21"/>
      <c r="K18" s="21"/>
      <c r="L18" s="21"/>
      <c r="M18" s="21"/>
      <c r="N18" s="21"/>
      <c r="O18" s="21"/>
    </row>
    <row r="19" s="8" customFormat="1" ht="20" customHeight="1" spans="1:15">
      <c r="A19" s="14">
        <v>15</v>
      </c>
      <c r="B19" s="14" t="s">
        <v>712</v>
      </c>
      <c r="C19" s="14" t="s">
        <v>713</v>
      </c>
      <c r="D19" s="14">
        <v>96.030303030303</v>
      </c>
      <c r="E19" s="14">
        <v>83.33</v>
      </c>
      <c r="F19" s="14">
        <v>74.75</v>
      </c>
      <c r="G19" s="14"/>
      <c r="H19" s="14"/>
      <c r="I19" s="14">
        <f t="shared" si="0"/>
        <v>86.2820909090909</v>
      </c>
      <c r="J19" s="14"/>
      <c r="K19" s="14"/>
      <c r="L19" s="14"/>
      <c r="M19" s="14"/>
      <c r="N19" s="14"/>
      <c r="O19" s="14"/>
    </row>
    <row r="20" s="8" customFormat="1" ht="20" customHeight="1" spans="1:15">
      <c r="A20" s="14">
        <v>16</v>
      </c>
      <c r="B20" s="14" t="s">
        <v>714</v>
      </c>
      <c r="C20" s="14" t="s">
        <v>715</v>
      </c>
      <c r="D20" s="14">
        <v>95.4545454545455</v>
      </c>
      <c r="E20" s="14">
        <v>81.92</v>
      </c>
      <c r="F20" s="14">
        <v>84.25</v>
      </c>
      <c r="G20" s="14"/>
      <c r="H20" s="14"/>
      <c r="I20" s="14">
        <f t="shared" si="0"/>
        <v>86.2133636363636</v>
      </c>
      <c r="J20" s="14"/>
      <c r="K20" s="14"/>
      <c r="L20" s="14"/>
      <c r="M20" s="14"/>
      <c r="N20" s="14"/>
      <c r="O20" s="14"/>
    </row>
    <row r="21" s="8" customFormat="1" ht="20" customHeight="1" spans="1:15">
      <c r="A21" s="14">
        <v>17</v>
      </c>
      <c r="B21" s="14" t="s">
        <v>716</v>
      </c>
      <c r="C21" s="14" t="s">
        <v>717</v>
      </c>
      <c r="D21" s="14">
        <v>95.5757575757576</v>
      </c>
      <c r="E21" s="14">
        <v>80.08</v>
      </c>
      <c r="F21" s="14">
        <v>84.75</v>
      </c>
      <c r="G21" s="14"/>
      <c r="H21" s="14"/>
      <c r="I21" s="14">
        <f t="shared" si="0"/>
        <v>85.1957272727273</v>
      </c>
      <c r="J21" s="14"/>
      <c r="K21" s="14"/>
      <c r="L21" s="14"/>
      <c r="M21" s="14"/>
      <c r="N21" s="14"/>
      <c r="O21" s="14"/>
    </row>
    <row r="22" s="8" customFormat="1" ht="20" customHeight="1" spans="1:15">
      <c r="A22" s="14">
        <v>18</v>
      </c>
      <c r="B22" s="14" t="s">
        <v>718</v>
      </c>
      <c r="C22" s="14" t="s">
        <v>719</v>
      </c>
      <c r="D22" s="14">
        <v>95.1818181818182</v>
      </c>
      <c r="E22" s="14">
        <v>82.67</v>
      </c>
      <c r="F22" s="14">
        <v>77.25</v>
      </c>
      <c r="G22" s="14"/>
      <c r="H22" s="14">
        <v>2</v>
      </c>
      <c r="I22" s="14">
        <f t="shared" si="0"/>
        <v>83.8815454545454</v>
      </c>
      <c r="J22" s="14"/>
      <c r="K22" s="14"/>
      <c r="L22" s="14"/>
      <c r="M22" s="14"/>
      <c r="N22" s="14"/>
      <c r="O22" s="14"/>
    </row>
    <row r="23" s="8" customFormat="1" ht="20" customHeight="1" spans="1:15">
      <c r="A23" s="14">
        <v>19</v>
      </c>
      <c r="B23" s="14" t="s">
        <v>720</v>
      </c>
      <c r="C23" s="14" t="s">
        <v>721</v>
      </c>
      <c r="D23" s="14">
        <v>95.6363636363636</v>
      </c>
      <c r="E23" s="14">
        <v>80.67</v>
      </c>
      <c r="F23" s="14">
        <v>86.25</v>
      </c>
      <c r="G23" s="14"/>
      <c r="H23" s="14">
        <v>2</v>
      </c>
      <c r="I23" s="14">
        <f t="shared" si="0"/>
        <v>83.7179090909091</v>
      </c>
      <c r="J23" s="14"/>
      <c r="K23" s="14"/>
      <c r="L23" s="14"/>
      <c r="M23" s="14"/>
      <c r="N23" s="14"/>
      <c r="O23" s="14"/>
    </row>
    <row r="24" s="8" customFormat="1" ht="20" customHeight="1" spans="1:15">
      <c r="A24" s="14">
        <v>20</v>
      </c>
      <c r="B24" s="14" t="s">
        <v>722</v>
      </c>
      <c r="C24" s="14" t="s">
        <v>723</v>
      </c>
      <c r="D24" s="14">
        <v>95.2121212121212</v>
      </c>
      <c r="E24" s="14">
        <v>81.08</v>
      </c>
      <c r="F24" s="14">
        <v>81.5</v>
      </c>
      <c r="G24" s="14"/>
      <c r="H24" s="14">
        <v>2</v>
      </c>
      <c r="I24" s="14">
        <f t="shared" si="0"/>
        <v>83.3616363636364</v>
      </c>
      <c r="J24" s="14"/>
      <c r="K24" s="14"/>
      <c r="L24" s="14"/>
      <c r="M24" s="14"/>
      <c r="N24" s="14"/>
      <c r="O24" s="14"/>
    </row>
    <row r="25" s="8" customFormat="1" ht="20" customHeight="1" spans="1:15">
      <c r="A25" s="14">
        <v>21</v>
      </c>
      <c r="B25" s="14" t="s">
        <v>724</v>
      </c>
      <c r="C25" s="14" t="s">
        <v>725</v>
      </c>
      <c r="D25" s="14">
        <v>95.6363636363636</v>
      </c>
      <c r="E25" s="14">
        <v>81.08</v>
      </c>
      <c r="F25" s="14">
        <v>78.75</v>
      </c>
      <c r="G25" s="14"/>
      <c r="H25" s="14">
        <v>2</v>
      </c>
      <c r="I25" s="14">
        <f t="shared" si="0"/>
        <v>83.2139090909091</v>
      </c>
      <c r="J25" s="14"/>
      <c r="K25" s="14"/>
      <c r="L25" s="14"/>
      <c r="M25" s="14"/>
      <c r="N25" s="14"/>
      <c r="O25" s="14"/>
    </row>
    <row r="26" s="8" customFormat="1" ht="20" customHeight="1" spans="1:15">
      <c r="A26" s="14">
        <v>22</v>
      </c>
      <c r="B26" s="14" t="s">
        <v>726</v>
      </c>
      <c r="C26" s="14" t="s">
        <v>727</v>
      </c>
      <c r="D26" s="14">
        <v>95.4545454545455</v>
      </c>
      <c r="E26" s="14">
        <v>77.83</v>
      </c>
      <c r="F26" s="14">
        <v>78</v>
      </c>
      <c r="G26" s="14"/>
      <c r="H26" s="14"/>
      <c r="I26" s="14">
        <f t="shared" si="0"/>
        <v>83.1343636363636</v>
      </c>
      <c r="J26" s="14"/>
      <c r="K26" s="14"/>
      <c r="L26" s="14"/>
      <c r="M26" s="14"/>
      <c r="N26" s="14"/>
      <c r="O26" s="14"/>
    </row>
    <row r="27" s="8" customFormat="1" ht="20" customHeight="1" spans="1:15">
      <c r="A27" s="14">
        <v>23</v>
      </c>
      <c r="B27" s="14" t="s">
        <v>728</v>
      </c>
      <c r="C27" s="14" t="s">
        <v>729</v>
      </c>
      <c r="D27" s="14">
        <v>95.9393939393939</v>
      </c>
      <c r="E27" s="14">
        <v>80.08</v>
      </c>
      <c r="F27" s="14">
        <v>82.75</v>
      </c>
      <c r="G27" s="14"/>
      <c r="H27" s="14">
        <v>2</v>
      </c>
      <c r="I27" s="14">
        <f t="shared" si="0"/>
        <v>83.1048181818182</v>
      </c>
      <c r="J27" s="14"/>
      <c r="K27" s="14"/>
      <c r="L27" s="14"/>
      <c r="M27" s="14"/>
      <c r="N27" s="14"/>
      <c r="O27" s="14"/>
    </row>
    <row r="28" s="8" customFormat="1" ht="20" customHeight="1" spans="1:15">
      <c r="A28" s="14">
        <v>24</v>
      </c>
      <c r="B28" s="14" t="s">
        <v>730</v>
      </c>
      <c r="C28" s="14" t="s">
        <v>731</v>
      </c>
      <c r="D28" s="14">
        <v>96.2121212121212</v>
      </c>
      <c r="E28" s="14">
        <v>81.17</v>
      </c>
      <c r="F28" s="14">
        <v>78</v>
      </c>
      <c r="G28" s="14">
        <v>1.5</v>
      </c>
      <c r="H28" s="14">
        <v>4</v>
      </c>
      <c r="I28" s="14">
        <f t="shared" si="0"/>
        <v>82.8656363636364</v>
      </c>
      <c r="J28" s="14"/>
      <c r="K28" s="14"/>
      <c r="L28" s="14"/>
      <c r="M28" s="14"/>
      <c r="N28" s="14"/>
      <c r="O28" s="14"/>
    </row>
    <row r="29" s="8" customFormat="1" ht="20" customHeight="1" spans="1:15">
      <c r="A29" s="14">
        <v>25</v>
      </c>
      <c r="B29" s="14" t="s">
        <v>732</v>
      </c>
      <c r="C29" s="14" t="s">
        <v>733</v>
      </c>
      <c r="D29" s="14">
        <v>94.969696969697</v>
      </c>
      <c r="E29" s="14">
        <v>80.75</v>
      </c>
      <c r="F29" s="14">
        <v>85.5</v>
      </c>
      <c r="G29" s="14">
        <v>1.5</v>
      </c>
      <c r="H29" s="14">
        <v>6</v>
      </c>
      <c r="I29" s="14">
        <f t="shared" si="0"/>
        <v>80.9909090909091</v>
      </c>
      <c r="J29" s="14"/>
      <c r="K29" s="14"/>
      <c r="L29" s="14"/>
      <c r="M29" s="14"/>
      <c r="N29" s="14"/>
      <c r="O29" s="14"/>
    </row>
    <row r="30" s="8" customFormat="1" ht="20" customHeight="1" spans="1:15">
      <c r="A30" s="14">
        <v>26</v>
      </c>
      <c r="B30" s="14" t="s">
        <v>734</v>
      </c>
      <c r="C30" s="14" t="s">
        <v>735</v>
      </c>
      <c r="D30" s="14">
        <v>95.5757575757576</v>
      </c>
      <c r="E30" s="14">
        <v>83.25</v>
      </c>
      <c r="F30" s="14">
        <v>80.75</v>
      </c>
      <c r="G30" s="14">
        <v>1.5</v>
      </c>
      <c r="H30" s="14">
        <v>8</v>
      </c>
      <c r="I30" s="14">
        <f t="shared" si="0"/>
        <v>80.1977272727273</v>
      </c>
      <c r="J30" s="14"/>
      <c r="K30" s="14"/>
      <c r="L30" s="14"/>
      <c r="M30" s="14"/>
      <c r="N30" s="14"/>
      <c r="O30" s="14"/>
    </row>
    <row r="31" s="8" customFormat="1" ht="20" customHeight="1" spans="1:15">
      <c r="A31" s="14">
        <v>27</v>
      </c>
      <c r="B31" s="14" t="s">
        <v>736</v>
      </c>
      <c r="C31" s="14" t="s">
        <v>737</v>
      </c>
      <c r="D31" s="14">
        <v>95.4242424242424</v>
      </c>
      <c r="E31" s="14">
        <v>82.33</v>
      </c>
      <c r="F31" s="14">
        <v>83.75</v>
      </c>
      <c r="G31" s="14">
        <v>1.5</v>
      </c>
      <c r="H31" s="14">
        <v>8</v>
      </c>
      <c r="I31" s="14">
        <f t="shared" si="0"/>
        <v>79.9002727272727</v>
      </c>
      <c r="J31" s="14"/>
      <c r="K31" s="14"/>
      <c r="L31" s="14"/>
      <c r="M31" s="14"/>
      <c r="N31" s="14"/>
      <c r="O31" s="14"/>
    </row>
    <row r="32" s="8" customFormat="1" ht="20" customHeight="1" spans="1:15">
      <c r="A32" s="14">
        <v>28</v>
      </c>
      <c r="B32" s="14" t="s">
        <v>738</v>
      </c>
      <c r="C32" s="14" t="s">
        <v>739</v>
      </c>
      <c r="D32" s="14">
        <v>95.030303030303</v>
      </c>
      <c r="E32" s="14">
        <v>78.42</v>
      </c>
      <c r="F32" s="14">
        <v>86</v>
      </c>
      <c r="G32" s="14">
        <v>1.5</v>
      </c>
      <c r="H32" s="14">
        <v>6</v>
      </c>
      <c r="I32" s="14">
        <f t="shared" si="0"/>
        <v>79.6610909090909</v>
      </c>
      <c r="J32" s="14"/>
      <c r="K32" s="14"/>
      <c r="L32" s="14"/>
      <c r="M32" s="14"/>
      <c r="N32" s="14"/>
      <c r="O32" s="14"/>
    </row>
    <row r="33" s="8" customFormat="1" ht="20" customHeight="1" spans="1:15">
      <c r="A33" s="14">
        <v>29</v>
      </c>
      <c r="B33" s="14" t="s">
        <v>740</v>
      </c>
      <c r="C33" s="14" t="s">
        <v>741</v>
      </c>
      <c r="D33" s="14">
        <v>94.5757575757576</v>
      </c>
      <c r="E33" s="14">
        <v>84.17</v>
      </c>
      <c r="F33" s="14">
        <v>84</v>
      </c>
      <c r="G33" s="14">
        <v>1.5</v>
      </c>
      <c r="H33" s="14">
        <v>12</v>
      </c>
      <c r="I33" s="14">
        <f t="shared" si="0"/>
        <v>76.7747272727273</v>
      </c>
      <c r="J33" s="14"/>
      <c r="K33" s="14"/>
      <c r="L33" s="14"/>
      <c r="M33" s="14"/>
      <c r="N33" s="14"/>
      <c r="O33" s="14"/>
    </row>
    <row r="34" s="8" customFormat="1" ht="20" customHeight="1" spans="1:15">
      <c r="A34" s="14">
        <v>30</v>
      </c>
      <c r="B34" s="14" t="s">
        <v>742</v>
      </c>
      <c r="C34" s="14" t="s">
        <v>743</v>
      </c>
      <c r="D34" s="14">
        <v>95.030303030303</v>
      </c>
      <c r="E34" s="14">
        <v>76.67</v>
      </c>
      <c r="F34" s="14">
        <v>84</v>
      </c>
      <c r="G34" s="14"/>
      <c r="H34" s="14">
        <v>10</v>
      </c>
      <c r="I34" s="14">
        <f t="shared" si="0"/>
        <v>72.9110909090909</v>
      </c>
      <c r="J34" s="14"/>
      <c r="K34" s="14"/>
      <c r="L34" s="14"/>
      <c r="M34" s="14"/>
      <c r="N34" s="14"/>
      <c r="O34" s="14"/>
    </row>
    <row r="35" s="8" customFormat="1" ht="20" customHeight="1" spans="1:15">
      <c r="A35" s="14">
        <v>31</v>
      </c>
      <c r="B35" s="14" t="s">
        <v>744</v>
      </c>
      <c r="C35" s="14" t="s">
        <v>745</v>
      </c>
      <c r="D35" s="14">
        <v>95.3030303030303</v>
      </c>
      <c r="E35" s="14">
        <v>83.08</v>
      </c>
      <c r="F35" s="14">
        <v>80.75</v>
      </c>
      <c r="G35" s="14">
        <v>2</v>
      </c>
      <c r="H35" s="14">
        <v>24</v>
      </c>
      <c r="I35" s="14">
        <f t="shared" si="0"/>
        <v>64.5139090909091</v>
      </c>
      <c r="J35" s="14"/>
      <c r="K35" s="14"/>
      <c r="L35" s="14"/>
      <c r="M35" s="14"/>
      <c r="N35" s="14"/>
      <c r="O35" s="14"/>
    </row>
    <row r="36" s="8" customFormat="1" ht="20" customHeight="1" spans="1:15">
      <c r="A36" s="14">
        <v>32</v>
      </c>
      <c r="B36" s="14" t="s">
        <v>746</v>
      </c>
      <c r="C36" s="14" t="s">
        <v>747</v>
      </c>
      <c r="D36" s="14">
        <v>92</v>
      </c>
      <c r="E36" s="14">
        <v>74.75</v>
      </c>
      <c r="F36" s="14">
        <v>79.25</v>
      </c>
      <c r="G36" s="14"/>
      <c r="H36" s="14">
        <v>20</v>
      </c>
      <c r="I36" s="14">
        <f t="shared" si="0"/>
        <v>60.375</v>
      </c>
      <c r="J36" s="14"/>
      <c r="K36" s="14"/>
      <c r="L36" s="14"/>
      <c r="M36" s="14"/>
      <c r="N36" s="14"/>
      <c r="O36" s="14"/>
    </row>
    <row r="37" s="8" customFormat="1" ht="20" customHeight="1" spans="1:15">
      <c r="A37" s="14">
        <v>33</v>
      </c>
      <c r="B37" s="14" t="s">
        <v>748</v>
      </c>
      <c r="C37" s="14" t="s">
        <v>749</v>
      </c>
      <c r="D37" s="14">
        <v>95.5151515151515</v>
      </c>
      <c r="E37" s="14">
        <v>79.42</v>
      </c>
      <c r="F37" s="14">
        <v>88.25</v>
      </c>
      <c r="G37" s="14"/>
      <c r="H37" s="14">
        <v>38</v>
      </c>
      <c r="I37" s="14">
        <f t="shared" si="0"/>
        <v>47.1315454545454</v>
      </c>
      <c r="J37" s="14"/>
      <c r="K37" s="14"/>
      <c r="L37" s="14"/>
      <c r="M37" s="14"/>
      <c r="N37" s="14"/>
      <c r="O37" s="14"/>
    </row>
    <row r="38" s="8" customFormat="1" ht="20" customHeight="1" spans="1:15">
      <c r="A38" s="14">
        <v>34</v>
      </c>
      <c r="B38" s="14" t="s">
        <v>750</v>
      </c>
      <c r="C38" s="14" t="s">
        <v>751</v>
      </c>
      <c r="D38" s="14">
        <v>95.3636363636364</v>
      </c>
      <c r="E38" s="14">
        <v>70.5</v>
      </c>
      <c r="F38" s="14">
        <v>78</v>
      </c>
      <c r="G38" s="14"/>
      <c r="H38" s="14">
        <v>44</v>
      </c>
      <c r="I38" s="14">
        <f t="shared" si="0"/>
        <v>34.7090909090909</v>
      </c>
      <c r="J38" s="14"/>
      <c r="K38" s="14"/>
      <c r="L38" s="14"/>
      <c r="M38" s="14"/>
      <c r="N38" s="14"/>
      <c r="O38" s="14"/>
    </row>
    <row r="39" spans="1:15">
      <c r="A39" s="19" t="s">
        <v>119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</row>
  </sheetData>
  <mergeCells count="4">
    <mergeCell ref="A1:O1"/>
    <mergeCell ref="A2:O2"/>
    <mergeCell ref="A3:O3"/>
    <mergeCell ref="A39:O39"/>
  </mergeCells>
  <pageMargins left="0.75" right="0.75" top="1" bottom="1" header="0.5" footer="0.5"/>
  <pageSetup paperSize="9" scale="90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workbookViewId="0">
      <selection activeCell="G7" sqref="G7"/>
    </sheetView>
  </sheetViews>
  <sheetFormatPr defaultColWidth="9" defaultRowHeight="16.8"/>
  <cols>
    <col min="2" max="2" width="19.3846153846154" customWidth="1"/>
    <col min="3" max="3" width="11.6923076923077" customWidth="1"/>
    <col min="4" max="4" width="13.6153846153846" customWidth="1"/>
    <col min="5" max="5" width="13.2980769230769" customWidth="1"/>
    <col min="6" max="6" width="12.6538461538462" customWidth="1"/>
    <col min="7" max="7" width="12.1730769230769" customWidth="1"/>
    <col min="8" max="8" width="16.8173076923077" customWidth="1"/>
    <col min="13" max="13" width="10.8942307692308" customWidth="1"/>
  </cols>
  <sheetData>
    <row r="1" ht="19" customHeight="1" spans="1:14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ht="40" customHeight="1" spans="1:14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ht="25" customHeight="1" spans="1:14">
      <c r="A3" s="27" t="s">
        <v>752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ht="53" spans="1:14">
      <c r="A4" s="34" t="s">
        <v>3</v>
      </c>
      <c r="B4" s="34" t="s">
        <v>4</v>
      </c>
      <c r="C4" s="34" t="s">
        <v>5</v>
      </c>
      <c r="D4" s="34" t="s">
        <v>6</v>
      </c>
      <c r="E4" s="34" t="s">
        <v>7</v>
      </c>
      <c r="F4" s="34" t="s">
        <v>9</v>
      </c>
      <c r="G4" s="34" t="s">
        <v>10</v>
      </c>
      <c r="H4" s="34" t="s">
        <v>753</v>
      </c>
      <c r="I4" s="34" t="s">
        <v>12</v>
      </c>
      <c r="J4" s="34" t="s">
        <v>13</v>
      </c>
      <c r="K4" s="34" t="s">
        <v>14</v>
      </c>
      <c r="L4" s="34" t="s">
        <v>15</v>
      </c>
      <c r="M4" s="34" t="s">
        <v>16</v>
      </c>
      <c r="N4" s="28" t="s">
        <v>17</v>
      </c>
    </row>
    <row r="5" s="8" customFormat="1" ht="20" customHeight="1" spans="1:14">
      <c r="A5" s="13">
        <v>1</v>
      </c>
      <c r="B5" s="13" t="s">
        <v>754</v>
      </c>
      <c r="C5" s="13" t="s">
        <v>755</v>
      </c>
      <c r="D5" s="13">
        <v>99</v>
      </c>
      <c r="E5" s="13" t="s">
        <v>756</v>
      </c>
      <c r="F5" s="13">
        <v>10.5</v>
      </c>
      <c r="G5" s="13"/>
      <c r="H5" s="13">
        <f t="shared" ref="H5:H38" si="0">D5*0.3+E5*0.7+F5-G5</f>
        <v>97.971</v>
      </c>
      <c r="I5" s="13"/>
      <c r="J5" s="13"/>
      <c r="K5" s="13"/>
      <c r="L5" s="13"/>
      <c r="M5" s="13" t="s">
        <v>21</v>
      </c>
      <c r="N5" s="13"/>
    </row>
    <row r="6" s="8" customFormat="1" ht="20" customHeight="1" spans="1:14">
      <c r="A6" s="13">
        <v>2</v>
      </c>
      <c r="B6" s="13" t="s">
        <v>757</v>
      </c>
      <c r="C6" s="13" t="s">
        <v>758</v>
      </c>
      <c r="D6" s="13">
        <v>100</v>
      </c>
      <c r="E6" s="13" t="s">
        <v>759</v>
      </c>
      <c r="F6" s="13">
        <v>5.5</v>
      </c>
      <c r="G6" s="13"/>
      <c r="H6" s="13">
        <f t="shared" si="0"/>
        <v>95.455</v>
      </c>
      <c r="I6" s="13"/>
      <c r="J6" s="13"/>
      <c r="K6" s="13"/>
      <c r="L6" s="13"/>
      <c r="M6" s="13" t="s">
        <v>21</v>
      </c>
      <c r="N6" s="13"/>
    </row>
    <row r="7" s="8" customFormat="1" ht="20" customHeight="1" spans="1:14">
      <c r="A7" s="13">
        <v>3</v>
      </c>
      <c r="B7" s="13" t="s">
        <v>760</v>
      </c>
      <c r="C7" s="13" t="s">
        <v>761</v>
      </c>
      <c r="D7" s="13">
        <v>100</v>
      </c>
      <c r="E7" s="13" t="s">
        <v>762</v>
      </c>
      <c r="F7" s="13">
        <v>3.5</v>
      </c>
      <c r="G7" s="13"/>
      <c r="H7" s="13">
        <f t="shared" si="0"/>
        <v>93.945</v>
      </c>
      <c r="I7" s="13"/>
      <c r="J7" s="13"/>
      <c r="K7" s="13"/>
      <c r="L7" s="13"/>
      <c r="M7" s="13" t="s">
        <v>21</v>
      </c>
      <c r="N7" s="13"/>
    </row>
    <row r="8" s="8" customFormat="1" ht="20" customHeight="1" spans="1:14">
      <c r="A8" s="13">
        <v>4</v>
      </c>
      <c r="B8" s="13" t="s">
        <v>763</v>
      </c>
      <c r="C8" s="13" t="s">
        <v>764</v>
      </c>
      <c r="D8" s="13">
        <v>99</v>
      </c>
      <c r="E8" s="13" t="s">
        <v>765</v>
      </c>
      <c r="F8" s="13">
        <v>4.5</v>
      </c>
      <c r="G8" s="13"/>
      <c r="H8" s="13">
        <f t="shared" si="0"/>
        <v>93.245</v>
      </c>
      <c r="I8" s="13"/>
      <c r="J8" s="13"/>
      <c r="K8" s="13"/>
      <c r="L8" s="13"/>
      <c r="M8" s="13" t="s">
        <v>21</v>
      </c>
      <c r="N8" s="13"/>
    </row>
    <row r="9" s="8" customFormat="1" ht="20" customHeight="1" spans="1:14">
      <c r="A9" s="13">
        <v>5</v>
      </c>
      <c r="B9" s="13" t="s">
        <v>766</v>
      </c>
      <c r="C9" s="13" t="s">
        <v>767</v>
      </c>
      <c r="D9" s="13">
        <v>100</v>
      </c>
      <c r="E9" s="13" t="s">
        <v>768</v>
      </c>
      <c r="F9" s="13">
        <v>1.5</v>
      </c>
      <c r="G9" s="13"/>
      <c r="H9" s="13">
        <f t="shared" si="0"/>
        <v>91.084</v>
      </c>
      <c r="I9" s="13"/>
      <c r="J9" s="13"/>
      <c r="K9" s="13"/>
      <c r="L9" s="13"/>
      <c r="M9" s="13" t="s">
        <v>21</v>
      </c>
      <c r="N9" s="13"/>
    </row>
    <row r="10" s="8" customFormat="1" ht="20" customHeight="1" spans="1:14">
      <c r="A10" s="13">
        <v>6</v>
      </c>
      <c r="B10" s="13" t="s">
        <v>769</v>
      </c>
      <c r="C10" s="13" t="s">
        <v>770</v>
      </c>
      <c r="D10" s="13">
        <v>99</v>
      </c>
      <c r="E10" s="13" t="s">
        <v>771</v>
      </c>
      <c r="F10" s="13">
        <v>5</v>
      </c>
      <c r="G10" s="13"/>
      <c r="H10" s="13">
        <f t="shared" si="0"/>
        <v>90.903</v>
      </c>
      <c r="I10" s="13"/>
      <c r="J10" s="13"/>
      <c r="K10" s="13"/>
      <c r="L10" s="13"/>
      <c r="M10" s="13"/>
      <c r="N10" s="13" t="s">
        <v>21</v>
      </c>
    </row>
    <row r="11" s="8" customFormat="1" ht="20" customHeight="1" spans="1:14">
      <c r="A11" s="13">
        <v>7</v>
      </c>
      <c r="B11" s="13" t="s">
        <v>772</v>
      </c>
      <c r="C11" s="13" t="s">
        <v>773</v>
      </c>
      <c r="D11" s="13">
        <v>99</v>
      </c>
      <c r="E11" s="13" t="s">
        <v>774</v>
      </c>
      <c r="F11" s="13">
        <v>1.5</v>
      </c>
      <c r="G11" s="13"/>
      <c r="H11" s="13">
        <f t="shared" si="0"/>
        <v>89.216</v>
      </c>
      <c r="I11" s="13"/>
      <c r="J11" s="13"/>
      <c r="K11" s="13"/>
      <c r="L11" s="13"/>
      <c r="M11" s="13" t="s">
        <v>21</v>
      </c>
      <c r="N11" s="13"/>
    </row>
    <row r="12" s="8" customFormat="1" ht="20" customHeight="1" spans="1:14">
      <c r="A12" s="13">
        <v>8</v>
      </c>
      <c r="B12" s="13" t="s">
        <v>775</v>
      </c>
      <c r="C12" s="13" t="s">
        <v>776</v>
      </c>
      <c r="D12" s="13">
        <v>100</v>
      </c>
      <c r="E12" s="13" t="s">
        <v>777</v>
      </c>
      <c r="F12" s="13"/>
      <c r="G12" s="13"/>
      <c r="H12" s="13">
        <f t="shared" si="0"/>
        <v>89.129</v>
      </c>
      <c r="I12" s="13"/>
      <c r="J12" s="13"/>
      <c r="K12" s="13"/>
      <c r="L12" s="13"/>
      <c r="M12" s="13" t="s">
        <v>21</v>
      </c>
      <c r="N12" s="13"/>
    </row>
    <row r="13" s="8" customFormat="1" ht="20" customHeight="1" spans="1:14">
      <c r="A13" s="13">
        <v>9</v>
      </c>
      <c r="B13" s="13" t="s">
        <v>778</v>
      </c>
      <c r="C13" s="13" t="s">
        <v>779</v>
      </c>
      <c r="D13" s="13">
        <v>99</v>
      </c>
      <c r="E13" s="13" t="s">
        <v>780</v>
      </c>
      <c r="F13" s="13"/>
      <c r="G13" s="13"/>
      <c r="H13" s="13">
        <f t="shared" si="0"/>
        <v>87.968</v>
      </c>
      <c r="I13" s="13"/>
      <c r="J13" s="13"/>
      <c r="K13" s="13"/>
      <c r="L13" s="13"/>
      <c r="M13" s="13" t="s">
        <v>21</v>
      </c>
      <c r="N13" s="13"/>
    </row>
    <row r="14" s="8" customFormat="1" ht="20" customHeight="1" spans="1:14">
      <c r="A14" s="13">
        <v>10</v>
      </c>
      <c r="B14" s="13" t="s">
        <v>781</v>
      </c>
      <c r="C14" s="13" t="s">
        <v>782</v>
      </c>
      <c r="D14" s="13">
        <v>99</v>
      </c>
      <c r="E14" s="13" t="s">
        <v>774</v>
      </c>
      <c r="F14" s="13"/>
      <c r="G14" s="13"/>
      <c r="H14" s="13">
        <f t="shared" si="0"/>
        <v>87.716</v>
      </c>
      <c r="I14" s="13"/>
      <c r="J14" s="13"/>
      <c r="K14" s="13"/>
      <c r="L14" s="13"/>
      <c r="M14" s="13"/>
      <c r="N14" s="13"/>
    </row>
    <row r="15" s="8" customFormat="1" ht="20" customHeight="1" spans="1:14">
      <c r="A15" s="13">
        <v>11</v>
      </c>
      <c r="B15" s="13" t="s">
        <v>783</v>
      </c>
      <c r="C15" s="13" t="s">
        <v>784</v>
      </c>
      <c r="D15" s="13">
        <v>99</v>
      </c>
      <c r="E15" s="13" t="s">
        <v>785</v>
      </c>
      <c r="F15" s="13"/>
      <c r="G15" s="13"/>
      <c r="H15" s="13">
        <f t="shared" si="0"/>
        <v>87.184</v>
      </c>
      <c r="I15" s="13"/>
      <c r="J15" s="13"/>
      <c r="K15" s="13"/>
      <c r="L15" s="13"/>
      <c r="M15" s="13"/>
      <c r="N15" s="13"/>
    </row>
    <row r="16" s="8" customFormat="1" ht="20" customHeight="1" spans="1:14">
      <c r="A16" s="13">
        <v>12</v>
      </c>
      <c r="B16" s="13" t="s">
        <v>786</v>
      </c>
      <c r="C16" s="13" t="s">
        <v>787</v>
      </c>
      <c r="D16" s="13">
        <v>98</v>
      </c>
      <c r="E16" s="13" t="s">
        <v>788</v>
      </c>
      <c r="F16" s="13"/>
      <c r="G16" s="13"/>
      <c r="H16" s="13">
        <f t="shared" si="0"/>
        <v>86.555</v>
      </c>
      <c r="I16" s="13"/>
      <c r="J16" s="13"/>
      <c r="K16" s="13"/>
      <c r="L16" s="13"/>
      <c r="M16" s="13"/>
      <c r="N16" s="13"/>
    </row>
    <row r="17" s="8" customFormat="1" ht="20" customHeight="1" spans="1:14">
      <c r="A17" s="13">
        <v>13</v>
      </c>
      <c r="B17" s="13" t="s">
        <v>789</v>
      </c>
      <c r="C17" s="13" t="s">
        <v>790</v>
      </c>
      <c r="D17" s="13">
        <v>98</v>
      </c>
      <c r="E17" s="13" t="s">
        <v>791</v>
      </c>
      <c r="F17" s="13"/>
      <c r="G17" s="13"/>
      <c r="H17" s="13">
        <f t="shared" si="0"/>
        <v>85.813</v>
      </c>
      <c r="I17" s="13"/>
      <c r="J17" s="13"/>
      <c r="K17" s="13"/>
      <c r="L17" s="13"/>
      <c r="M17" s="13"/>
      <c r="N17" s="13"/>
    </row>
    <row r="18" s="8" customFormat="1" ht="20" customHeight="1" spans="1:14">
      <c r="A18" s="14">
        <v>14</v>
      </c>
      <c r="B18" s="14" t="s">
        <v>792</v>
      </c>
      <c r="C18" s="14" t="s">
        <v>793</v>
      </c>
      <c r="D18" s="14">
        <v>98</v>
      </c>
      <c r="E18" s="14" t="s">
        <v>109</v>
      </c>
      <c r="F18" s="14">
        <v>3</v>
      </c>
      <c r="G18" s="14">
        <v>2</v>
      </c>
      <c r="H18" s="14">
        <f t="shared" si="0"/>
        <v>85.7</v>
      </c>
      <c r="I18" s="14"/>
      <c r="J18" s="14"/>
      <c r="K18" s="14"/>
      <c r="L18" s="14"/>
      <c r="M18" s="14"/>
      <c r="N18" s="14"/>
    </row>
    <row r="19" s="8" customFormat="1" ht="20" customHeight="1" spans="1:14">
      <c r="A19" s="14">
        <v>15</v>
      </c>
      <c r="B19" s="14" t="s">
        <v>794</v>
      </c>
      <c r="C19" s="14" t="s">
        <v>795</v>
      </c>
      <c r="D19" s="14">
        <v>100</v>
      </c>
      <c r="E19" s="14" t="s">
        <v>796</v>
      </c>
      <c r="F19" s="14"/>
      <c r="G19" s="14"/>
      <c r="H19" s="14">
        <f t="shared" si="0"/>
        <v>85.013</v>
      </c>
      <c r="I19" s="14"/>
      <c r="J19" s="14"/>
      <c r="K19" s="14"/>
      <c r="L19" s="14"/>
      <c r="M19" s="14"/>
      <c r="N19" s="14"/>
    </row>
    <row r="20" s="8" customFormat="1" ht="20" customHeight="1" spans="1:14">
      <c r="A20" s="14">
        <v>16</v>
      </c>
      <c r="B20" s="14" t="s">
        <v>797</v>
      </c>
      <c r="C20" s="14" t="s">
        <v>798</v>
      </c>
      <c r="D20" s="14">
        <v>98</v>
      </c>
      <c r="E20" s="14" t="s">
        <v>799</v>
      </c>
      <c r="F20" s="14"/>
      <c r="G20" s="14"/>
      <c r="H20" s="14">
        <f t="shared" si="0"/>
        <v>84.945</v>
      </c>
      <c r="I20" s="14"/>
      <c r="J20" s="14"/>
      <c r="K20" s="14"/>
      <c r="L20" s="14"/>
      <c r="M20" s="14"/>
      <c r="N20" s="14"/>
    </row>
    <row r="21" s="8" customFormat="1" ht="20" customHeight="1" spans="1:14">
      <c r="A21" s="14">
        <v>17</v>
      </c>
      <c r="B21" s="14" t="s">
        <v>800</v>
      </c>
      <c r="C21" s="14" t="s">
        <v>801</v>
      </c>
      <c r="D21" s="14">
        <v>100</v>
      </c>
      <c r="E21" s="14" t="s">
        <v>802</v>
      </c>
      <c r="F21" s="14"/>
      <c r="G21" s="14"/>
      <c r="H21" s="14">
        <f t="shared" si="0"/>
        <v>84.068</v>
      </c>
      <c r="I21" s="14"/>
      <c r="J21" s="14"/>
      <c r="K21" s="14"/>
      <c r="L21" s="14"/>
      <c r="M21" s="14"/>
      <c r="N21" s="14"/>
    </row>
    <row r="22" s="8" customFormat="1" ht="20" customHeight="1" spans="1:14">
      <c r="A22" s="14">
        <v>18</v>
      </c>
      <c r="B22" s="14" t="s">
        <v>803</v>
      </c>
      <c r="C22" s="14" t="s">
        <v>804</v>
      </c>
      <c r="D22" s="14">
        <v>98</v>
      </c>
      <c r="E22" s="14" t="s">
        <v>805</v>
      </c>
      <c r="F22" s="14">
        <v>2</v>
      </c>
      <c r="G22" s="14">
        <v>2</v>
      </c>
      <c r="H22" s="14">
        <f t="shared" si="0"/>
        <v>83.797</v>
      </c>
      <c r="I22" s="14"/>
      <c r="J22" s="14"/>
      <c r="K22" s="14"/>
      <c r="L22" s="14"/>
      <c r="M22" s="14"/>
      <c r="N22" s="14"/>
    </row>
    <row r="23" s="8" customFormat="1" ht="20" customHeight="1" spans="1:14">
      <c r="A23" s="14">
        <v>19</v>
      </c>
      <c r="B23" s="14" t="s">
        <v>806</v>
      </c>
      <c r="C23" s="14" t="s">
        <v>807</v>
      </c>
      <c r="D23" s="14">
        <v>98</v>
      </c>
      <c r="E23" s="14" t="s">
        <v>185</v>
      </c>
      <c r="F23" s="14"/>
      <c r="G23" s="14"/>
      <c r="H23" s="14">
        <f t="shared" si="0"/>
        <v>83.426</v>
      </c>
      <c r="I23" s="14"/>
      <c r="J23" s="14"/>
      <c r="K23" s="14"/>
      <c r="L23" s="14"/>
      <c r="M23" s="14"/>
      <c r="N23" s="14"/>
    </row>
    <row r="24" s="8" customFormat="1" ht="20" customHeight="1" spans="1:14">
      <c r="A24" s="14">
        <v>20</v>
      </c>
      <c r="B24" s="14" t="s">
        <v>808</v>
      </c>
      <c r="C24" s="14" t="s">
        <v>809</v>
      </c>
      <c r="D24" s="14">
        <v>96</v>
      </c>
      <c r="E24" s="14" t="s">
        <v>171</v>
      </c>
      <c r="F24" s="14">
        <v>4</v>
      </c>
      <c r="G24" s="14">
        <v>4</v>
      </c>
      <c r="H24" s="14">
        <f t="shared" si="0"/>
        <v>83.274</v>
      </c>
      <c r="I24" s="14"/>
      <c r="J24" s="14"/>
      <c r="K24" s="14"/>
      <c r="L24" s="14"/>
      <c r="M24" s="14"/>
      <c r="N24" s="14"/>
    </row>
    <row r="25" s="8" customFormat="1" ht="20" customHeight="1" spans="1:14">
      <c r="A25" s="14">
        <v>21</v>
      </c>
      <c r="B25" s="14" t="s">
        <v>810</v>
      </c>
      <c r="C25" s="14" t="s">
        <v>811</v>
      </c>
      <c r="D25" s="14">
        <v>98</v>
      </c>
      <c r="E25" s="14" t="s">
        <v>812</v>
      </c>
      <c r="F25" s="14"/>
      <c r="G25" s="14">
        <v>2</v>
      </c>
      <c r="H25" s="14">
        <f t="shared" si="0"/>
        <v>83.071</v>
      </c>
      <c r="I25" s="14"/>
      <c r="J25" s="14"/>
      <c r="K25" s="14"/>
      <c r="L25" s="14"/>
      <c r="M25" s="14"/>
      <c r="N25" s="14"/>
    </row>
    <row r="26" s="8" customFormat="1" ht="20" customHeight="1" spans="1:14">
      <c r="A26" s="14">
        <v>22</v>
      </c>
      <c r="B26" s="14" t="s">
        <v>813</v>
      </c>
      <c r="C26" s="14" t="s">
        <v>814</v>
      </c>
      <c r="D26" s="14">
        <v>98</v>
      </c>
      <c r="E26" s="14" t="s">
        <v>815</v>
      </c>
      <c r="F26" s="14">
        <v>1.5</v>
      </c>
      <c r="G26" s="14"/>
      <c r="H26" s="14">
        <f t="shared" si="0"/>
        <v>82.784</v>
      </c>
      <c r="I26" s="14"/>
      <c r="J26" s="14"/>
      <c r="K26" s="14"/>
      <c r="L26" s="14"/>
      <c r="M26" s="14"/>
      <c r="N26" s="14"/>
    </row>
    <row r="27" s="8" customFormat="1" ht="20" customHeight="1" spans="1:14">
      <c r="A27" s="14">
        <v>23</v>
      </c>
      <c r="B27" s="14" t="s">
        <v>816</v>
      </c>
      <c r="C27" s="14" t="s">
        <v>817</v>
      </c>
      <c r="D27" s="14">
        <v>98</v>
      </c>
      <c r="E27" s="14" t="s">
        <v>818</v>
      </c>
      <c r="F27" s="14"/>
      <c r="G27" s="14">
        <v>2</v>
      </c>
      <c r="H27" s="14">
        <f t="shared" si="0"/>
        <v>82.742</v>
      </c>
      <c r="I27" s="14"/>
      <c r="J27" s="14"/>
      <c r="K27" s="14"/>
      <c r="L27" s="14"/>
      <c r="M27" s="14"/>
      <c r="N27" s="14"/>
    </row>
    <row r="28" s="8" customFormat="1" ht="20" customHeight="1" spans="1:14">
      <c r="A28" s="14">
        <v>24</v>
      </c>
      <c r="B28" s="14" t="s">
        <v>819</v>
      </c>
      <c r="C28" s="14" t="s">
        <v>820</v>
      </c>
      <c r="D28" s="14">
        <v>98</v>
      </c>
      <c r="E28" s="14" t="s">
        <v>821</v>
      </c>
      <c r="F28" s="14"/>
      <c r="G28" s="14">
        <v>2</v>
      </c>
      <c r="H28" s="14">
        <f t="shared" si="0"/>
        <v>82.658</v>
      </c>
      <c r="I28" s="14"/>
      <c r="J28" s="14"/>
      <c r="K28" s="14"/>
      <c r="L28" s="14"/>
      <c r="M28" s="14"/>
      <c r="N28" s="14"/>
    </row>
    <row r="29" s="8" customFormat="1" ht="20" customHeight="1" spans="1:14">
      <c r="A29" s="14">
        <v>25</v>
      </c>
      <c r="B29" s="14" t="s">
        <v>822</v>
      </c>
      <c r="C29" s="14" t="s">
        <v>823</v>
      </c>
      <c r="D29" s="14">
        <v>98</v>
      </c>
      <c r="E29" s="14" t="s">
        <v>824</v>
      </c>
      <c r="F29" s="14">
        <v>2</v>
      </c>
      <c r="G29" s="14">
        <v>2</v>
      </c>
      <c r="H29" s="14">
        <f t="shared" si="0"/>
        <v>81.571</v>
      </c>
      <c r="I29" s="14"/>
      <c r="J29" s="14"/>
      <c r="K29" s="14"/>
      <c r="L29" s="14"/>
      <c r="M29" s="14"/>
      <c r="N29" s="14"/>
    </row>
    <row r="30" s="8" customFormat="1" ht="20" customHeight="1" spans="1:14">
      <c r="A30" s="14">
        <v>26</v>
      </c>
      <c r="B30" s="14" t="s">
        <v>825</v>
      </c>
      <c r="C30" s="14" t="s">
        <v>826</v>
      </c>
      <c r="D30" s="14">
        <v>96</v>
      </c>
      <c r="E30" s="14" t="s">
        <v>827</v>
      </c>
      <c r="F30" s="14"/>
      <c r="G30" s="14">
        <v>4</v>
      </c>
      <c r="H30" s="14">
        <f t="shared" si="0"/>
        <v>80.926</v>
      </c>
      <c r="I30" s="14"/>
      <c r="J30" s="14"/>
      <c r="K30" s="14"/>
      <c r="L30" s="14"/>
      <c r="M30" s="14"/>
      <c r="N30" s="14"/>
    </row>
    <row r="31" s="8" customFormat="1" ht="20" customHeight="1" spans="1:14">
      <c r="A31" s="14">
        <v>27</v>
      </c>
      <c r="B31" s="14" t="s">
        <v>828</v>
      </c>
      <c r="C31" s="14" t="s">
        <v>829</v>
      </c>
      <c r="D31" s="14">
        <v>96</v>
      </c>
      <c r="E31" s="14" t="s">
        <v>830</v>
      </c>
      <c r="F31" s="14"/>
      <c r="G31" s="14">
        <v>4</v>
      </c>
      <c r="H31" s="14">
        <f t="shared" si="0"/>
        <v>79.568</v>
      </c>
      <c r="I31" s="14"/>
      <c r="J31" s="14"/>
      <c r="K31" s="14"/>
      <c r="L31" s="14"/>
      <c r="M31" s="14"/>
      <c r="N31" s="14"/>
    </row>
    <row r="32" s="8" customFormat="1" ht="20" customHeight="1" spans="1:14">
      <c r="A32" s="14">
        <v>28</v>
      </c>
      <c r="B32" s="14" t="s">
        <v>831</v>
      </c>
      <c r="C32" s="14" t="s">
        <v>832</v>
      </c>
      <c r="D32" s="14">
        <v>98</v>
      </c>
      <c r="E32" s="14" t="s">
        <v>833</v>
      </c>
      <c r="F32" s="14"/>
      <c r="G32" s="14">
        <v>2</v>
      </c>
      <c r="H32" s="14">
        <f t="shared" si="0"/>
        <v>79.529</v>
      </c>
      <c r="I32" s="14"/>
      <c r="J32" s="14"/>
      <c r="K32" s="14"/>
      <c r="L32" s="14"/>
      <c r="M32" s="14"/>
      <c r="N32" s="14"/>
    </row>
    <row r="33" s="8" customFormat="1" ht="20" customHeight="1" spans="1:14">
      <c r="A33" s="14">
        <v>29</v>
      </c>
      <c r="B33" s="14" t="s">
        <v>834</v>
      </c>
      <c r="C33" s="14" t="s">
        <v>835</v>
      </c>
      <c r="D33" s="14">
        <v>98</v>
      </c>
      <c r="E33" s="14" t="s">
        <v>836</v>
      </c>
      <c r="F33" s="14"/>
      <c r="G33" s="14">
        <v>2</v>
      </c>
      <c r="H33" s="14">
        <f t="shared" si="0"/>
        <v>79.158</v>
      </c>
      <c r="I33" s="14"/>
      <c r="J33" s="14"/>
      <c r="K33" s="14"/>
      <c r="L33" s="14"/>
      <c r="M33" s="14"/>
      <c r="N33" s="14"/>
    </row>
    <row r="34" s="8" customFormat="1" ht="20" customHeight="1" spans="1:14">
      <c r="A34" s="14">
        <v>30</v>
      </c>
      <c r="B34" s="14" t="s">
        <v>837</v>
      </c>
      <c r="C34" s="14" t="s">
        <v>838</v>
      </c>
      <c r="D34" s="14">
        <v>98</v>
      </c>
      <c r="E34" s="14" t="s">
        <v>839</v>
      </c>
      <c r="F34" s="14"/>
      <c r="G34" s="14">
        <v>2</v>
      </c>
      <c r="H34" s="14">
        <f t="shared" si="0"/>
        <v>79.032</v>
      </c>
      <c r="I34" s="14"/>
      <c r="J34" s="14"/>
      <c r="K34" s="14"/>
      <c r="L34" s="14"/>
      <c r="M34" s="14"/>
      <c r="N34" s="14"/>
    </row>
    <row r="35" s="8" customFormat="1" ht="20" customHeight="1" spans="1:14">
      <c r="A35" s="14">
        <v>31</v>
      </c>
      <c r="B35" s="14" t="s">
        <v>840</v>
      </c>
      <c r="C35" s="14" t="s">
        <v>841</v>
      </c>
      <c r="D35" s="14">
        <v>98</v>
      </c>
      <c r="E35" s="14" t="s">
        <v>842</v>
      </c>
      <c r="F35" s="14"/>
      <c r="G35" s="14">
        <v>2</v>
      </c>
      <c r="H35" s="14">
        <f t="shared" si="0"/>
        <v>78.913</v>
      </c>
      <c r="I35" s="14"/>
      <c r="J35" s="14"/>
      <c r="K35" s="14"/>
      <c r="L35" s="14"/>
      <c r="M35" s="14"/>
      <c r="N35" s="14"/>
    </row>
    <row r="36" s="8" customFormat="1" ht="20" customHeight="1" spans="1:14">
      <c r="A36" s="14">
        <v>32</v>
      </c>
      <c r="B36" s="14" t="s">
        <v>843</v>
      </c>
      <c r="C36" s="14" t="s">
        <v>844</v>
      </c>
      <c r="D36" s="14">
        <v>96</v>
      </c>
      <c r="E36" s="14" t="s">
        <v>845</v>
      </c>
      <c r="F36" s="14"/>
      <c r="G36" s="14">
        <v>4</v>
      </c>
      <c r="H36" s="14">
        <f t="shared" si="0"/>
        <v>76.768</v>
      </c>
      <c r="I36" s="14"/>
      <c r="J36" s="14"/>
      <c r="K36" s="14"/>
      <c r="L36" s="14"/>
      <c r="M36" s="14"/>
      <c r="N36" s="14"/>
    </row>
    <row r="37" s="8" customFormat="1" ht="20" customHeight="1" spans="1:14">
      <c r="A37" s="14">
        <v>33</v>
      </c>
      <c r="B37" s="14" t="s">
        <v>846</v>
      </c>
      <c r="C37" s="14" t="s">
        <v>847</v>
      </c>
      <c r="D37" s="14">
        <v>96</v>
      </c>
      <c r="E37" s="14" t="s">
        <v>848</v>
      </c>
      <c r="F37" s="14"/>
      <c r="G37" s="14">
        <v>4</v>
      </c>
      <c r="H37" s="14">
        <f t="shared" si="0"/>
        <v>75.9</v>
      </c>
      <c r="I37" s="14"/>
      <c r="J37" s="14"/>
      <c r="K37" s="14"/>
      <c r="L37" s="14"/>
      <c r="M37" s="14"/>
      <c r="N37" s="14"/>
    </row>
    <row r="38" s="8" customFormat="1" ht="20" customHeight="1" spans="1:14">
      <c r="A38" s="14">
        <v>34</v>
      </c>
      <c r="B38" s="14" t="s">
        <v>849</v>
      </c>
      <c r="C38" s="14" t="s">
        <v>850</v>
      </c>
      <c r="D38" s="14">
        <v>92</v>
      </c>
      <c r="E38" s="14" t="s">
        <v>851</v>
      </c>
      <c r="F38" s="14"/>
      <c r="G38" s="14">
        <v>8</v>
      </c>
      <c r="H38" s="14">
        <f t="shared" si="0"/>
        <v>69.426</v>
      </c>
      <c r="I38" s="14"/>
      <c r="J38" s="14"/>
      <c r="K38" s="14"/>
      <c r="L38" s="14"/>
      <c r="M38" s="14"/>
      <c r="N38" s="14"/>
    </row>
    <row r="39" spans="1:14">
      <c r="A39" s="33" t="s">
        <v>119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</row>
    <row r="40" spans="1:14">
      <c r="A40" s="35"/>
      <c r="B40" s="35"/>
      <c r="C40" s="35"/>
      <c r="D40" s="35"/>
      <c r="E40" s="36"/>
      <c r="F40" s="35"/>
      <c r="G40" s="36"/>
      <c r="H40" s="35"/>
      <c r="I40" s="35"/>
      <c r="J40" s="35"/>
      <c r="K40" s="35"/>
      <c r="L40" s="35"/>
      <c r="M40" s="35"/>
      <c r="N40" s="35"/>
    </row>
  </sheetData>
  <mergeCells count="4">
    <mergeCell ref="A1:N1"/>
    <mergeCell ref="A2:N2"/>
    <mergeCell ref="A3:N3"/>
    <mergeCell ref="A39:N39"/>
  </mergeCells>
  <pageMargins left="0.75" right="0.75" top="1" bottom="1" header="0.5" footer="0.5"/>
  <pageSetup paperSize="9" scale="9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selection activeCell="H4" sqref="H4"/>
    </sheetView>
  </sheetViews>
  <sheetFormatPr defaultColWidth="9" defaultRowHeight="16.8"/>
  <cols>
    <col min="2" max="2" width="19.0576923076923" customWidth="1"/>
    <col min="3" max="3" width="13.9423076923077" customWidth="1"/>
    <col min="4" max="4" width="13.7788461538462" customWidth="1"/>
    <col min="5" max="5" width="14.7403846153846" customWidth="1"/>
    <col min="6" max="6" width="13.7788461538462" customWidth="1"/>
    <col min="7" max="7" width="12.3461538461538" customWidth="1"/>
    <col min="8" max="8" width="17.625" customWidth="1"/>
    <col min="13" max="13" width="15.5384615384615" customWidth="1"/>
    <col min="14" max="14" width="12.3365384615385" customWidth="1"/>
  </cols>
  <sheetData>
    <row r="1" ht="23" customHeight="1" spans="1:14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ht="45" customHeight="1" spans="1:14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ht="31" customHeight="1" spans="1:14">
      <c r="A3" s="27" t="s">
        <v>852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ht="53" spans="1:14">
      <c r="A4" s="28" t="s">
        <v>3</v>
      </c>
      <c r="B4" s="28" t="s">
        <v>4</v>
      </c>
      <c r="C4" s="28" t="s">
        <v>5</v>
      </c>
      <c r="D4" s="28" t="s">
        <v>6</v>
      </c>
      <c r="E4" s="28" t="s">
        <v>7</v>
      </c>
      <c r="F4" s="28" t="s">
        <v>9</v>
      </c>
      <c r="G4" s="28" t="s">
        <v>10</v>
      </c>
      <c r="H4" s="28" t="s">
        <v>753</v>
      </c>
      <c r="I4" s="28" t="s">
        <v>12</v>
      </c>
      <c r="J4" s="28" t="s">
        <v>13</v>
      </c>
      <c r="K4" s="28" t="s">
        <v>14</v>
      </c>
      <c r="L4" s="28" t="s">
        <v>15</v>
      </c>
      <c r="M4" s="28" t="s">
        <v>16</v>
      </c>
      <c r="N4" s="28" t="s">
        <v>17</v>
      </c>
    </row>
    <row r="5" s="8" customFormat="1" ht="20" customHeight="1" spans="1:14">
      <c r="A5" s="13">
        <v>1</v>
      </c>
      <c r="B5" s="13" t="s">
        <v>853</v>
      </c>
      <c r="C5" s="13" t="s">
        <v>854</v>
      </c>
      <c r="D5" s="31">
        <f>[1]Sheet1!J5</f>
        <v>100</v>
      </c>
      <c r="E5" s="31">
        <v>87.82</v>
      </c>
      <c r="F5" s="31">
        <v>7.5</v>
      </c>
      <c r="G5" s="31"/>
      <c r="H5" s="31">
        <f t="shared" ref="H5:H38" si="0">D5*30%+E5*70%+F5-G5</f>
        <v>98.974</v>
      </c>
      <c r="I5" s="13"/>
      <c r="J5" s="13"/>
      <c r="K5" s="13"/>
      <c r="L5" s="13" t="s">
        <v>21</v>
      </c>
      <c r="M5" s="13" t="s">
        <v>21</v>
      </c>
      <c r="N5" s="13"/>
    </row>
    <row r="6" s="8" customFormat="1" ht="20" customHeight="1" spans="1:14">
      <c r="A6" s="13">
        <v>2</v>
      </c>
      <c r="B6" s="13" t="s">
        <v>855</v>
      </c>
      <c r="C6" s="13" t="s">
        <v>856</v>
      </c>
      <c r="D6" s="31">
        <f>[1]Sheet1!J15</f>
        <v>100</v>
      </c>
      <c r="E6" s="31">
        <v>80.35</v>
      </c>
      <c r="F6" s="31">
        <v>4.5</v>
      </c>
      <c r="G6" s="31"/>
      <c r="H6" s="31">
        <f t="shared" si="0"/>
        <v>90.745</v>
      </c>
      <c r="I6" s="13"/>
      <c r="J6" s="13"/>
      <c r="K6" s="13"/>
      <c r="L6" s="13"/>
      <c r="M6" s="13" t="s">
        <v>21</v>
      </c>
      <c r="N6" s="13"/>
    </row>
    <row r="7" s="8" customFormat="1" ht="20" customHeight="1" spans="1:14">
      <c r="A7" s="13">
        <v>3</v>
      </c>
      <c r="B7" s="13" t="s">
        <v>857</v>
      </c>
      <c r="C7" s="13" t="s">
        <v>858</v>
      </c>
      <c r="D7" s="31">
        <f>[1]Sheet1!J7</f>
        <v>100</v>
      </c>
      <c r="E7" s="31">
        <v>85.47</v>
      </c>
      <c r="F7" s="31"/>
      <c r="G7" s="31"/>
      <c r="H7" s="31">
        <f t="shared" si="0"/>
        <v>89.829</v>
      </c>
      <c r="I7" s="13"/>
      <c r="J7" s="13"/>
      <c r="K7" s="13"/>
      <c r="L7" s="13"/>
      <c r="M7" s="13" t="s">
        <v>21</v>
      </c>
      <c r="N7" s="13"/>
    </row>
    <row r="8" s="8" customFormat="1" ht="20" customHeight="1" spans="1:14">
      <c r="A8" s="13">
        <v>4</v>
      </c>
      <c r="B8" s="13" t="s">
        <v>859</v>
      </c>
      <c r="C8" s="13" t="s">
        <v>860</v>
      </c>
      <c r="D8" s="31">
        <f>[1]Sheet1!J10</f>
        <v>100</v>
      </c>
      <c r="E8" s="31">
        <v>81.65</v>
      </c>
      <c r="F8" s="31">
        <v>2</v>
      </c>
      <c r="G8" s="31"/>
      <c r="H8" s="31">
        <f t="shared" si="0"/>
        <v>89.155</v>
      </c>
      <c r="I8" s="13"/>
      <c r="J8" s="13"/>
      <c r="K8" s="13"/>
      <c r="L8" s="13"/>
      <c r="M8" s="13"/>
      <c r="N8" s="13" t="s">
        <v>21</v>
      </c>
    </row>
    <row r="9" s="8" customFormat="1" ht="20" customHeight="1" spans="1:14">
      <c r="A9" s="13">
        <v>5</v>
      </c>
      <c r="B9" s="13" t="s">
        <v>861</v>
      </c>
      <c r="C9" s="13" t="s">
        <v>862</v>
      </c>
      <c r="D9" s="31">
        <f>[1]Sheet1!J18</f>
        <v>98</v>
      </c>
      <c r="E9" s="31">
        <v>79.59</v>
      </c>
      <c r="F9" s="31">
        <v>3.5</v>
      </c>
      <c r="G9" s="31"/>
      <c r="H9" s="31">
        <f t="shared" si="0"/>
        <v>88.613</v>
      </c>
      <c r="I9" s="13"/>
      <c r="J9" s="13"/>
      <c r="K9" s="13"/>
      <c r="L9" s="13"/>
      <c r="M9" s="13"/>
      <c r="N9" s="13"/>
    </row>
    <row r="10" s="8" customFormat="1" ht="20" customHeight="1" spans="1:14">
      <c r="A10" s="13">
        <v>6</v>
      </c>
      <c r="B10" s="13" t="s">
        <v>863</v>
      </c>
      <c r="C10" s="13" t="s">
        <v>864</v>
      </c>
      <c r="D10" s="31">
        <f>[1]Sheet1!J22</f>
        <v>100</v>
      </c>
      <c r="E10" s="31">
        <v>78.12</v>
      </c>
      <c r="F10" s="31">
        <v>3.5</v>
      </c>
      <c r="G10" s="31"/>
      <c r="H10" s="31">
        <f t="shared" si="0"/>
        <v>88.184</v>
      </c>
      <c r="I10" s="13"/>
      <c r="J10" s="13"/>
      <c r="K10" s="13"/>
      <c r="L10" s="13"/>
      <c r="M10" s="13"/>
      <c r="N10" s="13" t="s">
        <v>21</v>
      </c>
    </row>
    <row r="11" s="8" customFormat="1" ht="20" customHeight="1" spans="1:14">
      <c r="A11" s="13">
        <v>7</v>
      </c>
      <c r="B11" s="13" t="s">
        <v>865</v>
      </c>
      <c r="C11" s="13" t="s">
        <v>866</v>
      </c>
      <c r="D11" s="31">
        <f>[1]Sheet1!J8</f>
        <v>100</v>
      </c>
      <c r="E11" s="31">
        <v>82.82</v>
      </c>
      <c r="F11" s="31"/>
      <c r="G11" s="31"/>
      <c r="H11" s="31">
        <f t="shared" si="0"/>
        <v>87.974</v>
      </c>
      <c r="I11" s="13"/>
      <c r="J11" s="13"/>
      <c r="K11" s="13"/>
      <c r="L11" s="13"/>
      <c r="M11" s="13" t="s">
        <v>21</v>
      </c>
      <c r="N11" s="13"/>
    </row>
    <row r="12" s="8" customFormat="1" ht="20" customHeight="1" spans="1:14">
      <c r="A12" s="13">
        <v>8</v>
      </c>
      <c r="B12" s="13" t="s">
        <v>867</v>
      </c>
      <c r="C12" s="13" t="s">
        <v>868</v>
      </c>
      <c r="D12" s="31">
        <f>[1]Sheet1!J12</f>
        <v>99</v>
      </c>
      <c r="E12" s="31">
        <v>81.29</v>
      </c>
      <c r="F12" s="31"/>
      <c r="G12" s="31"/>
      <c r="H12" s="31">
        <f t="shared" si="0"/>
        <v>86.603</v>
      </c>
      <c r="I12" s="13"/>
      <c r="J12" s="13"/>
      <c r="K12" s="13"/>
      <c r="L12" s="13"/>
      <c r="M12" s="13" t="s">
        <v>21</v>
      </c>
      <c r="N12" s="13"/>
    </row>
    <row r="13" s="8" customFormat="1" ht="20" customHeight="1" spans="1:14">
      <c r="A13" s="13">
        <v>9</v>
      </c>
      <c r="B13" s="13" t="s">
        <v>869</v>
      </c>
      <c r="C13" s="13" t="s">
        <v>870</v>
      </c>
      <c r="D13" s="31">
        <f>[1]Sheet1!J23</f>
        <v>99</v>
      </c>
      <c r="E13" s="31">
        <v>77.88</v>
      </c>
      <c r="F13" s="31">
        <v>2.5</v>
      </c>
      <c r="G13" s="31"/>
      <c r="H13" s="31">
        <f t="shared" si="0"/>
        <v>86.716</v>
      </c>
      <c r="I13" s="13"/>
      <c r="J13" s="13"/>
      <c r="K13" s="13"/>
      <c r="L13" s="13"/>
      <c r="M13" s="13"/>
      <c r="N13" s="13"/>
    </row>
    <row r="14" s="8" customFormat="1" ht="20" customHeight="1" spans="1:14">
      <c r="A14" s="13">
        <v>10</v>
      </c>
      <c r="B14" s="13" t="s">
        <v>871</v>
      </c>
      <c r="C14" s="13" t="s">
        <v>872</v>
      </c>
      <c r="D14" s="31">
        <f>[1]Sheet1!J14</f>
        <v>99</v>
      </c>
      <c r="E14" s="31">
        <v>80.47</v>
      </c>
      <c r="F14" s="31"/>
      <c r="G14" s="31"/>
      <c r="H14" s="31">
        <f t="shared" si="0"/>
        <v>86.029</v>
      </c>
      <c r="I14" s="13"/>
      <c r="J14" s="13"/>
      <c r="K14" s="13"/>
      <c r="L14" s="13"/>
      <c r="M14" s="13"/>
      <c r="N14" s="13"/>
    </row>
    <row r="15" s="8" customFormat="1" ht="20" customHeight="1" spans="1:14">
      <c r="A15" s="13">
        <v>11</v>
      </c>
      <c r="B15" s="13" t="s">
        <v>873</v>
      </c>
      <c r="C15" s="13" t="s">
        <v>874</v>
      </c>
      <c r="D15" s="31">
        <f>[1]Sheet1!J11</f>
        <v>98</v>
      </c>
      <c r="E15" s="31">
        <v>81.47</v>
      </c>
      <c r="F15" s="31">
        <v>1.5</v>
      </c>
      <c r="G15" s="31">
        <v>2</v>
      </c>
      <c r="H15" s="31">
        <f t="shared" si="0"/>
        <v>85.929</v>
      </c>
      <c r="I15" s="13"/>
      <c r="J15" s="13"/>
      <c r="K15" s="13"/>
      <c r="L15" s="13"/>
      <c r="M15" s="13"/>
      <c r="N15" s="13"/>
    </row>
    <row r="16" s="8" customFormat="1" ht="20" customHeight="1" spans="1:14">
      <c r="A16" s="13">
        <v>12</v>
      </c>
      <c r="B16" s="13" t="s">
        <v>875</v>
      </c>
      <c r="C16" s="13" t="s">
        <v>876</v>
      </c>
      <c r="D16" s="31">
        <f>[1]Sheet1!J16</f>
        <v>98</v>
      </c>
      <c r="E16" s="31">
        <v>80.12</v>
      </c>
      <c r="F16" s="31"/>
      <c r="G16" s="31"/>
      <c r="H16" s="31">
        <f t="shared" si="0"/>
        <v>85.484</v>
      </c>
      <c r="I16" s="13"/>
      <c r="J16" s="13"/>
      <c r="K16" s="13"/>
      <c r="L16" s="13"/>
      <c r="M16" s="13"/>
      <c r="N16" s="13"/>
    </row>
    <row r="17" s="8" customFormat="1" ht="20" customHeight="1" spans="1:14">
      <c r="A17" s="13">
        <v>13</v>
      </c>
      <c r="B17" s="13" t="s">
        <v>877</v>
      </c>
      <c r="C17" s="13" t="s">
        <v>878</v>
      </c>
      <c r="D17" s="31">
        <f>[1]Sheet1!J17</f>
        <v>98</v>
      </c>
      <c r="E17" s="31">
        <v>79.94</v>
      </c>
      <c r="F17" s="31"/>
      <c r="G17" s="31"/>
      <c r="H17" s="31">
        <f t="shared" si="0"/>
        <v>85.358</v>
      </c>
      <c r="I17" s="13"/>
      <c r="J17" s="13"/>
      <c r="K17" s="13"/>
      <c r="L17" s="13"/>
      <c r="M17" s="13"/>
      <c r="N17" s="13"/>
    </row>
    <row r="18" s="8" customFormat="1" ht="20" customHeight="1" spans="1:14">
      <c r="A18" s="14">
        <v>14</v>
      </c>
      <c r="B18" s="14" t="s">
        <v>879</v>
      </c>
      <c r="C18" s="14" t="s">
        <v>880</v>
      </c>
      <c r="D18" s="32">
        <f>[1]Sheet1!J9</f>
        <v>98</v>
      </c>
      <c r="E18" s="32">
        <v>82.53</v>
      </c>
      <c r="F18" s="32"/>
      <c r="G18" s="32">
        <v>2</v>
      </c>
      <c r="H18" s="32">
        <f t="shared" si="0"/>
        <v>85.171</v>
      </c>
      <c r="I18" s="14"/>
      <c r="J18" s="14"/>
      <c r="K18" s="14"/>
      <c r="L18" s="14"/>
      <c r="M18" s="14"/>
      <c r="N18" s="14"/>
    </row>
    <row r="19" s="8" customFormat="1" ht="20" customHeight="1" spans="1:14">
      <c r="A19" s="14">
        <v>15</v>
      </c>
      <c r="B19" s="14" t="s">
        <v>881</v>
      </c>
      <c r="C19" s="14" t="s">
        <v>882</v>
      </c>
      <c r="D19" s="32">
        <f>[1]Sheet1!J6</f>
        <v>96</v>
      </c>
      <c r="E19" s="32">
        <v>85.76</v>
      </c>
      <c r="F19" s="32"/>
      <c r="G19" s="32">
        <v>4</v>
      </c>
      <c r="H19" s="32">
        <f t="shared" si="0"/>
        <v>84.832</v>
      </c>
      <c r="I19" s="14"/>
      <c r="J19" s="14"/>
      <c r="K19" s="14"/>
      <c r="L19" s="14"/>
      <c r="M19" s="14"/>
      <c r="N19" s="14"/>
    </row>
    <row r="20" s="8" customFormat="1" ht="20" customHeight="1" spans="1:14">
      <c r="A20" s="14">
        <v>16</v>
      </c>
      <c r="B20" s="14" t="s">
        <v>883</v>
      </c>
      <c r="C20" s="14" t="s">
        <v>884</v>
      </c>
      <c r="D20" s="32">
        <f>[1]Sheet1!J21</f>
        <v>98</v>
      </c>
      <c r="E20" s="32">
        <v>78.41</v>
      </c>
      <c r="F20" s="32"/>
      <c r="G20" s="32"/>
      <c r="H20" s="32">
        <f t="shared" si="0"/>
        <v>84.287</v>
      </c>
      <c r="I20" s="14"/>
      <c r="J20" s="14"/>
      <c r="K20" s="14"/>
      <c r="L20" s="14"/>
      <c r="M20" s="14"/>
      <c r="N20" s="14"/>
    </row>
    <row r="21" s="8" customFormat="1" ht="20" customHeight="1" spans="1:14">
      <c r="A21" s="14">
        <v>17</v>
      </c>
      <c r="B21" s="14" t="s">
        <v>885</v>
      </c>
      <c r="C21" s="14" t="s">
        <v>886</v>
      </c>
      <c r="D21" s="32">
        <f>[1]Sheet1!J27</f>
        <v>98</v>
      </c>
      <c r="E21" s="32">
        <v>76.06</v>
      </c>
      <c r="F21" s="32"/>
      <c r="G21" s="32"/>
      <c r="H21" s="32">
        <f t="shared" si="0"/>
        <v>82.642</v>
      </c>
      <c r="I21" s="14"/>
      <c r="J21" s="14"/>
      <c r="K21" s="14"/>
      <c r="L21" s="14"/>
      <c r="M21" s="14"/>
      <c r="N21" s="14"/>
    </row>
    <row r="22" s="8" customFormat="1" ht="20" customHeight="1" spans="1:14">
      <c r="A22" s="14">
        <v>18</v>
      </c>
      <c r="B22" s="14" t="s">
        <v>887</v>
      </c>
      <c r="C22" s="14" t="s">
        <v>888</v>
      </c>
      <c r="D22" s="32">
        <f>[1]Sheet1!J26</f>
        <v>96</v>
      </c>
      <c r="E22" s="32">
        <v>76.53</v>
      </c>
      <c r="F22" s="32"/>
      <c r="G22" s="32"/>
      <c r="H22" s="32">
        <f t="shared" si="0"/>
        <v>82.371</v>
      </c>
      <c r="I22" s="14"/>
      <c r="J22" s="14"/>
      <c r="K22" s="14"/>
      <c r="L22" s="14"/>
      <c r="M22" s="14"/>
      <c r="N22" s="14"/>
    </row>
    <row r="23" s="8" customFormat="1" ht="20" customHeight="1" spans="1:14">
      <c r="A23" s="14">
        <v>19</v>
      </c>
      <c r="B23" s="14" t="s">
        <v>889</v>
      </c>
      <c r="C23" s="14" t="s">
        <v>890</v>
      </c>
      <c r="D23" s="32">
        <f>[1]Sheet1!J25</f>
        <v>98</v>
      </c>
      <c r="E23" s="32">
        <v>77.29</v>
      </c>
      <c r="F23" s="32"/>
      <c r="G23" s="32">
        <v>2</v>
      </c>
      <c r="H23" s="32">
        <f t="shared" si="0"/>
        <v>81.503</v>
      </c>
      <c r="I23" s="14"/>
      <c r="J23" s="14"/>
      <c r="K23" s="14"/>
      <c r="L23" s="14"/>
      <c r="M23" s="14"/>
      <c r="N23" s="14"/>
    </row>
    <row r="24" s="8" customFormat="1" ht="20" customHeight="1" spans="1:14">
      <c r="A24" s="14">
        <v>20</v>
      </c>
      <c r="B24" s="14" t="s">
        <v>891</v>
      </c>
      <c r="C24" s="14" t="s">
        <v>892</v>
      </c>
      <c r="D24" s="32">
        <f>[1]Sheet1!J13</f>
        <v>96</v>
      </c>
      <c r="E24" s="32">
        <v>80.94</v>
      </c>
      <c r="F24" s="32"/>
      <c r="G24" s="32">
        <v>4</v>
      </c>
      <c r="H24" s="32">
        <f t="shared" si="0"/>
        <v>81.458</v>
      </c>
      <c r="I24" s="14"/>
      <c r="J24" s="14"/>
      <c r="K24" s="14"/>
      <c r="L24" s="14"/>
      <c r="M24" s="14"/>
      <c r="N24" s="14"/>
    </row>
    <row r="25" s="8" customFormat="1" ht="20" customHeight="1" spans="1:14">
      <c r="A25" s="14">
        <v>21</v>
      </c>
      <c r="B25" s="14" t="s">
        <v>893</v>
      </c>
      <c r="C25" s="14" t="s">
        <v>894</v>
      </c>
      <c r="D25" s="32">
        <f>[1]Sheet1!J28</f>
        <v>94</v>
      </c>
      <c r="E25" s="32">
        <v>75.47</v>
      </c>
      <c r="F25" s="32"/>
      <c r="G25" s="32"/>
      <c r="H25" s="32">
        <f t="shared" si="0"/>
        <v>81.029</v>
      </c>
      <c r="I25" s="14"/>
      <c r="J25" s="14"/>
      <c r="K25" s="14"/>
      <c r="L25" s="14"/>
      <c r="M25" s="14"/>
      <c r="N25" s="14"/>
    </row>
    <row r="26" s="8" customFormat="1" ht="20" customHeight="1" spans="1:14">
      <c r="A26" s="14">
        <v>22</v>
      </c>
      <c r="B26" s="14" t="s">
        <v>895</v>
      </c>
      <c r="C26" s="14" t="s">
        <v>896</v>
      </c>
      <c r="D26" s="32">
        <f>[1]Sheet1!J20</f>
        <v>96</v>
      </c>
      <c r="E26" s="32">
        <v>78.65</v>
      </c>
      <c r="F26" s="32"/>
      <c r="G26" s="32">
        <v>4</v>
      </c>
      <c r="H26" s="32">
        <f t="shared" si="0"/>
        <v>79.855</v>
      </c>
      <c r="I26" s="14"/>
      <c r="J26" s="14"/>
      <c r="K26" s="14"/>
      <c r="L26" s="14"/>
      <c r="M26" s="14"/>
      <c r="N26" s="14"/>
    </row>
    <row r="27" s="8" customFormat="1" ht="20" customHeight="1" spans="1:14">
      <c r="A27" s="14">
        <v>23</v>
      </c>
      <c r="B27" s="14" t="s">
        <v>897</v>
      </c>
      <c r="C27" s="14" t="s">
        <v>898</v>
      </c>
      <c r="D27" s="32">
        <f>[1]Sheet1!J24</f>
        <v>96</v>
      </c>
      <c r="E27" s="32">
        <v>77.59</v>
      </c>
      <c r="F27" s="32"/>
      <c r="G27" s="32">
        <v>4</v>
      </c>
      <c r="H27" s="32">
        <f t="shared" si="0"/>
        <v>79.113</v>
      </c>
      <c r="I27" s="14"/>
      <c r="J27" s="14"/>
      <c r="K27" s="14"/>
      <c r="L27" s="14"/>
      <c r="M27" s="14"/>
      <c r="N27" s="14"/>
    </row>
    <row r="28" s="8" customFormat="1" ht="20" customHeight="1" spans="1:14">
      <c r="A28" s="14">
        <v>24</v>
      </c>
      <c r="B28" s="14" t="s">
        <v>899</v>
      </c>
      <c r="C28" s="14" t="s">
        <v>900</v>
      </c>
      <c r="D28" s="32">
        <f>[1]Sheet1!J29</f>
        <v>98</v>
      </c>
      <c r="E28" s="32">
        <v>73.82</v>
      </c>
      <c r="F28" s="32"/>
      <c r="G28" s="32">
        <v>2</v>
      </c>
      <c r="H28" s="32">
        <f t="shared" si="0"/>
        <v>79.074</v>
      </c>
      <c r="I28" s="14"/>
      <c r="J28" s="14"/>
      <c r="K28" s="14"/>
      <c r="L28" s="14"/>
      <c r="M28" s="14"/>
      <c r="N28" s="14"/>
    </row>
    <row r="29" s="8" customFormat="1" ht="20" customHeight="1" spans="1:14">
      <c r="A29" s="14">
        <v>25</v>
      </c>
      <c r="B29" s="14" t="s">
        <v>901</v>
      </c>
      <c r="C29" s="14" t="s">
        <v>902</v>
      </c>
      <c r="D29" s="32">
        <f>[1]Sheet1!J31</f>
        <v>98</v>
      </c>
      <c r="E29" s="32">
        <v>71.47</v>
      </c>
      <c r="F29" s="32"/>
      <c r="G29" s="32">
        <v>2</v>
      </c>
      <c r="H29" s="32">
        <f t="shared" si="0"/>
        <v>77.429</v>
      </c>
      <c r="I29" s="14"/>
      <c r="J29" s="14"/>
      <c r="K29" s="14"/>
      <c r="L29" s="14"/>
      <c r="M29" s="14"/>
      <c r="N29" s="14"/>
    </row>
    <row r="30" s="8" customFormat="1" ht="20" customHeight="1" spans="1:14">
      <c r="A30" s="14">
        <v>26</v>
      </c>
      <c r="B30" s="14" t="s">
        <v>903</v>
      </c>
      <c r="C30" s="14" t="s">
        <v>904</v>
      </c>
      <c r="D30" s="32">
        <f>[1]Sheet1!J34</f>
        <v>96</v>
      </c>
      <c r="E30" s="32">
        <v>69.65</v>
      </c>
      <c r="F30" s="32"/>
      <c r="G30" s="32">
        <v>4</v>
      </c>
      <c r="H30" s="32">
        <f t="shared" si="0"/>
        <v>73.555</v>
      </c>
      <c r="I30" s="14"/>
      <c r="J30" s="14"/>
      <c r="K30" s="14"/>
      <c r="L30" s="14"/>
      <c r="M30" s="14"/>
      <c r="N30" s="14"/>
    </row>
    <row r="31" s="8" customFormat="1" ht="20" customHeight="1" spans="1:14">
      <c r="A31" s="14">
        <v>27</v>
      </c>
      <c r="B31" s="14" t="s">
        <v>905</v>
      </c>
      <c r="C31" s="14" t="s">
        <v>906</v>
      </c>
      <c r="D31" s="32">
        <f>[1]Sheet1!J35</f>
        <v>96</v>
      </c>
      <c r="E31" s="32">
        <v>68.71</v>
      </c>
      <c r="F31" s="32"/>
      <c r="G31" s="32">
        <v>4</v>
      </c>
      <c r="H31" s="32">
        <f t="shared" si="0"/>
        <v>72.897</v>
      </c>
      <c r="I31" s="14"/>
      <c r="J31" s="14"/>
      <c r="K31" s="14"/>
      <c r="L31" s="14"/>
      <c r="M31" s="14"/>
      <c r="N31" s="14"/>
    </row>
    <row r="32" s="8" customFormat="1" ht="20" customHeight="1" spans="1:14">
      <c r="A32" s="14">
        <v>28</v>
      </c>
      <c r="B32" s="14" t="s">
        <v>907</v>
      </c>
      <c r="C32" s="14" t="s">
        <v>908</v>
      </c>
      <c r="D32" s="32">
        <f>[1]Sheet1!J30</f>
        <v>94</v>
      </c>
      <c r="E32" s="32">
        <v>72.18</v>
      </c>
      <c r="F32" s="32"/>
      <c r="G32" s="32">
        <v>6</v>
      </c>
      <c r="H32" s="32">
        <f t="shared" si="0"/>
        <v>72.726</v>
      </c>
      <c r="I32" s="14"/>
      <c r="J32" s="14"/>
      <c r="K32" s="14"/>
      <c r="L32" s="14"/>
      <c r="M32" s="14"/>
      <c r="N32" s="14"/>
    </row>
    <row r="33" s="8" customFormat="1" ht="20" customHeight="1" spans="1:14">
      <c r="A33" s="14">
        <v>29</v>
      </c>
      <c r="B33" s="14" t="s">
        <v>909</v>
      </c>
      <c r="C33" s="14" t="s">
        <v>910</v>
      </c>
      <c r="D33" s="32">
        <f>[1]Sheet1!J19</f>
        <v>90</v>
      </c>
      <c r="E33" s="32">
        <v>79.29</v>
      </c>
      <c r="F33" s="32"/>
      <c r="G33" s="32">
        <v>10</v>
      </c>
      <c r="H33" s="32">
        <f t="shared" si="0"/>
        <v>72.503</v>
      </c>
      <c r="I33" s="14"/>
      <c r="J33" s="14"/>
      <c r="K33" s="14"/>
      <c r="L33" s="14"/>
      <c r="M33" s="14"/>
      <c r="N33" s="14"/>
    </row>
    <row r="34" s="8" customFormat="1" ht="20" customHeight="1" spans="1:14">
      <c r="A34" s="14">
        <v>30</v>
      </c>
      <c r="B34" s="14" t="s">
        <v>911</v>
      </c>
      <c r="C34" s="14" t="s">
        <v>912</v>
      </c>
      <c r="D34" s="32">
        <f>[1]Sheet1!J37</f>
        <v>98</v>
      </c>
      <c r="E34" s="32">
        <v>66.76</v>
      </c>
      <c r="F34" s="32"/>
      <c r="G34" s="32">
        <v>4</v>
      </c>
      <c r="H34" s="32">
        <f t="shared" si="0"/>
        <v>72.132</v>
      </c>
      <c r="I34" s="14"/>
      <c r="J34" s="14"/>
      <c r="K34" s="14"/>
      <c r="L34" s="14"/>
      <c r="M34" s="14"/>
      <c r="N34" s="14"/>
    </row>
    <row r="35" s="8" customFormat="1" ht="20" customHeight="1" spans="1:14">
      <c r="A35" s="14">
        <v>31</v>
      </c>
      <c r="B35" s="14" t="s">
        <v>913</v>
      </c>
      <c r="C35" s="14" t="s">
        <v>914</v>
      </c>
      <c r="D35" s="32">
        <f>[1]Sheet1!J32</f>
        <v>94</v>
      </c>
      <c r="E35" s="32">
        <v>71.18</v>
      </c>
      <c r="F35" s="32"/>
      <c r="G35" s="32">
        <v>6</v>
      </c>
      <c r="H35" s="32">
        <f t="shared" si="0"/>
        <v>72.026</v>
      </c>
      <c r="I35" s="14"/>
      <c r="J35" s="14"/>
      <c r="K35" s="14"/>
      <c r="L35" s="14"/>
      <c r="M35" s="14"/>
      <c r="N35" s="14"/>
    </row>
    <row r="36" s="8" customFormat="1" ht="20" customHeight="1" spans="1:14">
      <c r="A36" s="14">
        <v>32</v>
      </c>
      <c r="B36" s="14" t="s">
        <v>915</v>
      </c>
      <c r="C36" s="14" t="s">
        <v>916</v>
      </c>
      <c r="D36" s="32">
        <f>[1]Sheet1!J38</f>
        <v>98</v>
      </c>
      <c r="E36" s="32">
        <v>65.82</v>
      </c>
      <c r="F36" s="32"/>
      <c r="G36" s="32">
        <v>4</v>
      </c>
      <c r="H36" s="32">
        <f t="shared" si="0"/>
        <v>71.474</v>
      </c>
      <c r="I36" s="14"/>
      <c r="J36" s="14"/>
      <c r="K36" s="14"/>
      <c r="L36" s="14"/>
      <c r="M36" s="14"/>
      <c r="N36" s="14"/>
    </row>
    <row r="37" s="8" customFormat="1" ht="20" customHeight="1" spans="1:14">
      <c r="A37" s="14">
        <v>33</v>
      </c>
      <c r="B37" s="14" t="s">
        <v>917</v>
      </c>
      <c r="C37" s="14" t="s">
        <v>918</v>
      </c>
      <c r="D37" s="32">
        <f>[1]Sheet1!J36</f>
        <v>88</v>
      </c>
      <c r="E37" s="32">
        <v>67.76</v>
      </c>
      <c r="F37" s="32">
        <v>1.5</v>
      </c>
      <c r="G37" s="32">
        <v>12</v>
      </c>
      <c r="H37" s="32">
        <f t="shared" si="0"/>
        <v>63.332</v>
      </c>
      <c r="I37" s="14"/>
      <c r="J37" s="14"/>
      <c r="K37" s="14"/>
      <c r="L37" s="14"/>
      <c r="M37" s="14"/>
      <c r="N37" s="14"/>
    </row>
    <row r="38" s="8" customFormat="1" ht="20" customHeight="1" spans="1:14">
      <c r="A38" s="14">
        <v>34</v>
      </c>
      <c r="B38" s="14" t="s">
        <v>919</v>
      </c>
      <c r="C38" s="14" t="s">
        <v>920</v>
      </c>
      <c r="D38" s="32">
        <f>[1]Sheet1!J33</f>
        <v>85</v>
      </c>
      <c r="E38" s="32">
        <v>70.88</v>
      </c>
      <c r="F38" s="32"/>
      <c r="G38" s="32">
        <v>22</v>
      </c>
      <c r="H38" s="32">
        <f t="shared" si="0"/>
        <v>53.116</v>
      </c>
      <c r="I38" s="14"/>
      <c r="J38" s="14"/>
      <c r="K38" s="14"/>
      <c r="L38" s="14"/>
      <c r="M38" s="14"/>
      <c r="N38" s="14"/>
    </row>
    <row r="39" spans="1:14">
      <c r="A39" s="33" t="s">
        <v>119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</row>
  </sheetData>
  <mergeCells count="4">
    <mergeCell ref="A1:N1"/>
    <mergeCell ref="A2:N2"/>
    <mergeCell ref="A3:N3"/>
    <mergeCell ref="A39:N39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selection activeCell="B10" sqref="B10:C10"/>
    </sheetView>
  </sheetViews>
  <sheetFormatPr defaultColWidth="9" defaultRowHeight="16.8"/>
  <cols>
    <col min="2" max="2" width="17.4711538461538" customWidth="1"/>
    <col min="3" max="3" width="10.0865384615385" customWidth="1"/>
    <col min="4" max="4" width="14.2596153846154" customWidth="1"/>
    <col min="5" max="5" width="13.2980769230769" customWidth="1"/>
    <col min="6" max="6" width="14.5865384615385" customWidth="1"/>
    <col min="7" max="7" width="11.7019230769231" customWidth="1"/>
    <col min="8" max="8" width="22.4230769230769" customWidth="1"/>
    <col min="13" max="13" width="10.7307692307692" customWidth="1"/>
    <col min="14" max="14" width="11.5384615384615" customWidth="1"/>
  </cols>
  <sheetData>
    <row r="1" spans="1:1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32" customHeight="1" spans="1:14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ht="24" customHeight="1" spans="1:14">
      <c r="A3" s="11" t="s">
        <v>921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ht="53" spans="1:14">
      <c r="A4" s="12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9</v>
      </c>
      <c r="G4" s="12" t="s">
        <v>10</v>
      </c>
      <c r="H4" s="12" t="s">
        <v>753</v>
      </c>
      <c r="I4" s="12" t="s">
        <v>12</v>
      </c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="8" customFormat="1" ht="20" customHeight="1" spans="1:14">
      <c r="A5" s="13">
        <v>1</v>
      </c>
      <c r="B5" s="13" t="s">
        <v>922</v>
      </c>
      <c r="C5" s="13" t="s">
        <v>923</v>
      </c>
      <c r="D5" s="13">
        <v>95.2059</v>
      </c>
      <c r="E5" s="13" t="s">
        <v>777</v>
      </c>
      <c r="F5" s="13">
        <v>2.5</v>
      </c>
      <c r="G5" s="13">
        <v>0</v>
      </c>
      <c r="H5" s="13">
        <f t="shared" ref="H5:H17" si="0">D5*0.3+E5*0.7+F5-G5</f>
        <v>90.19077</v>
      </c>
      <c r="I5" s="13"/>
      <c r="J5" s="13"/>
      <c r="K5" s="13"/>
      <c r="L5" s="13"/>
      <c r="M5" s="13" t="s">
        <v>21</v>
      </c>
      <c r="N5" s="13"/>
    </row>
    <row r="6" s="8" customFormat="1" ht="20" customHeight="1" spans="1:14">
      <c r="A6" s="13">
        <v>2</v>
      </c>
      <c r="B6" s="13" t="s">
        <v>924</v>
      </c>
      <c r="C6" s="13" t="s">
        <v>925</v>
      </c>
      <c r="D6" s="13">
        <v>96.7941</v>
      </c>
      <c r="E6" s="13" t="s">
        <v>160</v>
      </c>
      <c r="F6" s="13">
        <v>4</v>
      </c>
      <c r="G6" s="13">
        <v>0</v>
      </c>
      <c r="H6" s="13">
        <f t="shared" si="0"/>
        <v>89.86423</v>
      </c>
      <c r="I6" s="13"/>
      <c r="J6" s="13"/>
      <c r="K6" s="13"/>
      <c r="L6" s="13"/>
      <c r="M6" s="13"/>
      <c r="N6" s="13" t="s">
        <v>21</v>
      </c>
    </row>
    <row r="7" s="8" customFormat="1" ht="20" customHeight="1" spans="1:14">
      <c r="A7" s="13">
        <v>3</v>
      </c>
      <c r="B7" s="13" t="s">
        <v>926</v>
      </c>
      <c r="C7" s="13" t="s">
        <v>927</v>
      </c>
      <c r="D7" s="13">
        <v>94.5294</v>
      </c>
      <c r="E7" s="13" t="s">
        <v>928</v>
      </c>
      <c r="F7" s="13">
        <v>0</v>
      </c>
      <c r="G7" s="13">
        <v>0</v>
      </c>
      <c r="H7" s="13">
        <f t="shared" si="0"/>
        <v>88.88782</v>
      </c>
      <c r="I7" s="13"/>
      <c r="J7" s="13"/>
      <c r="K7" s="13"/>
      <c r="L7" s="13"/>
      <c r="M7" s="13" t="s">
        <v>21</v>
      </c>
      <c r="N7" s="13"/>
    </row>
    <row r="8" s="8" customFormat="1" ht="20" customHeight="1" spans="1:14">
      <c r="A8" s="13">
        <v>4</v>
      </c>
      <c r="B8" s="13" t="s">
        <v>929</v>
      </c>
      <c r="C8" s="13" t="s">
        <v>930</v>
      </c>
      <c r="D8" s="13">
        <v>95.3824</v>
      </c>
      <c r="E8" s="13" t="s">
        <v>931</v>
      </c>
      <c r="F8" s="13">
        <v>2.5</v>
      </c>
      <c r="G8" s="13">
        <v>0</v>
      </c>
      <c r="H8" s="13">
        <f t="shared" si="0"/>
        <v>88.47272</v>
      </c>
      <c r="I8" s="13"/>
      <c r="J8" s="13"/>
      <c r="K8" s="13"/>
      <c r="L8" s="13"/>
      <c r="M8" s="13"/>
      <c r="N8" s="13" t="s">
        <v>21</v>
      </c>
    </row>
    <row r="9" s="8" customFormat="1" ht="20" customHeight="1" spans="1:14">
      <c r="A9" s="13">
        <v>5</v>
      </c>
      <c r="B9" s="13" t="s">
        <v>932</v>
      </c>
      <c r="C9" s="13" t="s">
        <v>933</v>
      </c>
      <c r="D9" s="13">
        <v>94.9706</v>
      </c>
      <c r="E9" s="13" t="s">
        <v>934</v>
      </c>
      <c r="F9" s="13">
        <v>0</v>
      </c>
      <c r="G9" s="13">
        <v>0</v>
      </c>
      <c r="H9" s="13">
        <f t="shared" si="0"/>
        <v>88.32018</v>
      </c>
      <c r="I9" s="13"/>
      <c r="J9" s="13"/>
      <c r="K9" s="13"/>
      <c r="L9" s="13"/>
      <c r="M9" s="13" t="s">
        <v>21</v>
      </c>
      <c r="N9" s="13"/>
    </row>
    <row r="10" s="8" customFormat="1" ht="20" customHeight="1" spans="1:14">
      <c r="A10" s="13">
        <v>6</v>
      </c>
      <c r="B10" s="13" t="s">
        <v>935</v>
      </c>
      <c r="C10" s="13" t="s">
        <v>936</v>
      </c>
      <c r="D10" s="13">
        <v>95.4118</v>
      </c>
      <c r="E10" s="13" t="s">
        <v>937</v>
      </c>
      <c r="F10" s="13">
        <v>3.5</v>
      </c>
      <c r="G10" s="13">
        <v>0</v>
      </c>
      <c r="H10" s="13">
        <f t="shared" si="0"/>
        <v>87.75254</v>
      </c>
      <c r="I10" s="13"/>
      <c r="J10" s="13"/>
      <c r="K10" s="13"/>
      <c r="L10" s="13"/>
      <c r="M10" s="13"/>
      <c r="N10" s="13" t="s">
        <v>21</v>
      </c>
    </row>
    <row r="11" s="8" customFormat="1" ht="20" customHeight="1" spans="1:14">
      <c r="A11" s="13">
        <v>7</v>
      </c>
      <c r="B11" s="13" t="s">
        <v>938</v>
      </c>
      <c r="C11" s="13" t="s">
        <v>939</v>
      </c>
      <c r="D11" s="13">
        <v>94.2941</v>
      </c>
      <c r="E11" s="13" t="s">
        <v>940</v>
      </c>
      <c r="F11" s="13">
        <v>0</v>
      </c>
      <c r="G11" s="13">
        <v>0</v>
      </c>
      <c r="H11" s="13">
        <f t="shared" si="0"/>
        <v>87.17223</v>
      </c>
      <c r="I11" s="13"/>
      <c r="J11" s="13"/>
      <c r="K11" s="13"/>
      <c r="L11" s="13"/>
      <c r="M11" s="13" t="s">
        <v>21</v>
      </c>
      <c r="N11" s="13"/>
    </row>
    <row r="12" s="8" customFormat="1" ht="20" customHeight="1" spans="1:14">
      <c r="A12" s="13">
        <v>8</v>
      </c>
      <c r="B12" s="13" t="s">
        <v>941</v>
      </c>
      <c r="C12" s="13" t="s">
        <v>942</v>
      </c>
      <c r="D12" s="13">
        <v>95.3529</v>
      </c>
      <c r="E12" s="13" t="s">
        <v>943</v>
      </c>
      <c r="F12" s="13">
        <v>0</v>
      </c>
      <c r="G12" s="13">
        <v>0</v>
      </c>
      <c r="H12" s="13">
        <f t="shared" si="0"/>
        <v>86.90887</v>
      </c>
      <c r="I12" s="13"/>
      <c r="J12" s="13"/>
      <c r="K12" s="13"/>
      <c r="L12" s="13"/>
      <c r="M12" s="13" t="s">
        <v>21</v>
      </c>
      <c r="N12" s="13"/>
    </row>
    <row r="13" s="8" customFormat="1" ht="20" customHeight="1" spans="1:14">
      <c r="A13" s="13">
        <v>9</v>
      </c>
      <c r="B13" s="13" t="s">
        <v>944</v>
      </c>
      <c r="C13" s="13" t="s">
        <v>945</v>
      </c>
      <c r="D13" s="13">
        <v>95.3529</v>
      </c>
      <c r="E13" s="13" t="s">
        <v>931</v>
      </c>
      <c r="F13" s="13">
        <v>0</v>
      </c>
      <c r="G13" s="13">
        <v>0</v>
      </c>
      <c r="H13" s="13">
        <f t="shared" si="0"/>
        <v>85.96387</v>
      </c>
      <c r="I13" s="13"/>
      <c r="J13" s="13"/>
      <c r="K13" s="13"/>
      <c r="L13" s="13"/>
      <c r="M13" s="13" t="s">
        <v>21</v>
      </c>
      <c r="N13" s="13"/>
    </row>
    <row r="14" s="8" customFormat="1" ht="20" customHeight="1" spans="1:14">
      <c r="A14" s="13">
        <v>10</v>
      </c>
      <c r="B14" s="13" t="s">
        <v>946</v>
      </c>
      <c r="C14" s="13" t="s">
        <v>947</v>
      </c>
      <c r="D14" s="13">
        <v>95.1471</v>
      </c>
      <c r="E14" s="13" t="s">
        <v>948</v>
      </c>
      <c r="F14" s="13">
        <v>0</v>
      </c>
      <c r="G14" s="13">
        <v>0</v>
      </c>
      <c r="H14" s="13">
        <f t="shared" si="0"/>
        <v>85.94413</v>
      </c>
      <c r="I14" s="13"/>
      <c r="J14" s="13"/>
      <c r="K14" s="13"/>
      <c r="L14" s="13"/>
      <c r="M14" s="13" t="s">
        <v>21</v>
      </c>
      <c r="N14" s="13"/>
    </row>
    <row r="15" s="8" customFormat="1" ht="20" customHeight="1" spans="1:14">
      <c r="A15" s="13">
        <v>11</v>
      </c>
      <c r="B15" s="13" t="s">
        <v>949</v>
      </c>
      <c r="C15" s="13" t="s">
        <v>950</v>
      </c>
      <c r="D15" s="13">
        <v>95.3529</v>
      </c>
      <c r="E15" s="13" t="s">
        <v>47</v>
      </c>
      <c r="F15" s="13">
        <v>0</v>
      </c>
      <c r="G15" s="13">
        <v>0</v>
      </c>
      <c r="H15" s="13">
        <f t="shared" si="0"/>
        <v>85.87987</v>
      </c>
      <c r="I15" s="13"/>
      <c r="J15" s="13"/>
      <c r="K15" s="13"/>
      <c r="L15" s="13"/>
      <c r="M15" s="13"/>
      <c r="N15" s="13"/>
    </row>
    <row r="16" s="8" customFormat="1" ht="20" customHeight="1" spans="1:14">
      <c r="A16" s="13">
        <v>12</v>
      </c>
      <c r="B16" s="13" t="s">
        <v>951</v>
      </c>
      <c r="C16" s="13" t="s">
        <v>952</v>
      </c>
      <c r="D16" s="13">
        <v>94.7059</v>
      </c>
      <c r="E16" s="13" t="s">
        <v>953</v>
      </c>
      <c r="F16" s="13">
        <v>0</v>
      </c>
      <c r="G16" s="13">
        <v>0</v>
      </c>
      <c r="H16" s="13">
        <f t="shared" si="0"/>
        <v>84.24377</v>
      </c>
      <c r="I16" s="13"/>
      <c r="J16" s="13"/>
      <c r="K16" s="13"/>
      <c r="L16" s="13"/>
      <c r="M16" s="13"/>
      <c r="N16" s="13"/>
    </row>
    <row r="17" s="8" customFormat="1" ht="20" customHeight="1" spans="1:14">
      <c r="A17" s="13">
        <v>13</v>
      </c>
      <c r="B17" s="13" t="s">
        <v>954</v>
      </c>
      <c r="C17" s="13" t="s">
        <v>955</v>
      </c>
      <c r="D17" s="13">
        <v>93.3824</v>
      </c>
      <c r="E17" s="13" t="s">
        <v>799</v>
      </c>
      <c r="F17" s="13">
        <v>0</v>
      </c>
      <c r="G17" s="13">
        <v>0</v>
      </c>
      <c r="H17" s="13">
        <f t="shared" si="0"/>
        <v>83.55972</v>
      </c>
      <c r="I17" s="13"/>
      <c r="J17" s="13"/>
      <c r="K17" s="13"/>
      <c r="L17" s="13"/>
      <c r="M17" s="13"/>
      <c r="N17" s="13"/>
    </row>
    <row r="18" s="8" customFormat="1" ht="20" customHeight="1" spans="1:14">
      <c r="A18" s="14">
        <v>14</v>
      </c>
      <c r="B18" s="14" t="s">
        <v>956</v>
      </c>
      <c r="C18" s="14" t="s">
        <v>957</v>
      </c>
      <c r="D18" s="14">
        <v>94.0294</v>
      </c>
      <c r="E18" s="14" t="s">
        <v>958</v>
      </c>
      <c r="F18" s="14">
        <v>0</v>
      </c>
      <c r="G18" s="14">
        <v>0</v>
      </c>
      <c r="H18" s="14">
        <f t="shared" ref="H18:H38" si="1">D18*0.3+E18*0.7+F18-G18</f>
        <v>83.01182</v>
      </c>
      <c r="I18" s="14"/>
      <c r="J18" s="14"/>
      <c r="K18" s="14"/>
      <c r="L18" s="14"/>
      <c r="M18" s="14"/>
      <c r="N18" s="14"/>
    </row>
    <row r="19" s="8" customFormat="1" ht="20" customHeight="1" spans="1:14">
      <c r="A19" s="14">
        <v>15</v>
      </c>
      <c r="B19" s="14" t="s">
        <v>959</v>
      </c>
      <c r="C19" s="14" t="s">
        <v>960</v>
      </c>
      <c r="D19" s="14">
        <v>94.4118</v>
      </c>
      <c r="E19" s="14" t="s">
        <v>525</v>
      </c>
      <c r="F19" s="14">
        <v>0</v>
      </c>
      <c r="G19" s="14">
        <v>0</v>
      </c>
      <c r="H19" s="14">
        <f t="shared" si="1"/>
        <v>82.92354</v>
      </c>
      <c r="I19" s="14"/>
      <c r="J19" s="14"/>
      <c r="K19" s="14"/>
      <c r="L19" s="14"/>
      <c r="M19" s="14"/>
      <c r="N19" s="14"/>
    </row>
    <row r="20" s="8" customFormat="1" ht="20" customHeight="1" spans="1:14">
      <c r="A20" s="14">
        <v>16</v>
      </c>
      <c r="B20" s="14" t="s">
        <v>961</v>
      </c>
      <c r="C20" s="14" t="s">
        <v>962</v>
      </c>
      <c r="D20" s="14">
        <v>94.7353</v>
      </c>
      <c r="E20" s="14" t="s">
        <v>805</v>
      </c>
      <c r="F20" s="14">
        <v>0</v>
      </c>
      <c r="G20" s="14">
        <v>0</v>
      </c>
      <c r="H20" s="14">
        <f t="shared" si="1"/>
        <v>82.81759</v>
      </c>
      <c r="I20" s="14"/>
      <c r="J20" s="14"/>
      <c r="K20" s="14"/>
      <c r="L20" s="14"/>
      <c r="M20" s="14"/>
      <c r="N20" s="14"/>
    </row>
    <row r="21" s="8" customFormat="1" ht="20" customHeight="1" spans="1:14">
      <c r="A21" s="14">
        <v>17</v>
      </c>
      <c r="B21" s="14" t="s">
        <v>963</v>
      </c>
      <c r="C21" s="14" t="s">
        <v>964</v>
      </c>
      <c r="D21" s="14">
        <v>94.1765</v>
      </c>
      <c r="E21" s="14" t="s">
        <v>544</v>
      </c>
      <c r="F21" s="14">
        <v>0</v>
      </c>
      <c r="G21" s="14">
        <v>0</v>
      </c>
      <c r="H21" s="14">
        <f t="shared" si="1"/>
        <v>81.32695</v>
      </c>
      <c r="I21" s="14"/>
      <c r="J21" s="14"/>
      <c r="K21" s="14"/>
      <c r="L21" s="14"/>
      <c r="M21" s="14"/>
      <c r="N21" s="14"/>
    </row>
    <row r="22" s="8" customFormat="1" ht="20" customHeight="1" spans="1:14">
      <c r="A22" s="14">
        <v>18</v>
      </c>
      <c r="B22" s="14" t="s">
        <v>965</v>
      </c>
      <c r="C22" s="14" t="s">
        <v>966</v>
      </c>
      <c r="D22" s="14">
        <v>94.7059</v>
      </c>
      <c r="E22" s="14" t="s">
        <v>967</v>
      </c>
      <c r="F22" s="14">
        <v>0</v>
      </c>
      <c r="G22" s="14">
        <v>0</v>
      </c>
      <c r="H22" s="14">
        <f t="shared" si="1"/>
        <v>78.93777</v>
      </c>
      <c r="I22" s="14"/>
      <c r="J22" s="14"/>
      <c r="K22" s="14"/>
      <c r="L22" s="14"/>
      <c r="M22" s="14"/>
      <c r="N22" s="14"/>
    </row>
    <row r="23" s="8" customFormat="1" ht="20" customHeight="1" spans="1:14">
      <c r="A23" s="14">
        <v>19</v>
      </c>
      <c r="B23" s="14" t="s">
        <v>968</v>
      </c>
      <c r="C23" s="14" t="s">
        <v>969</v>
      </c>
      <c r="D23" s="14">
        <v>0</v>
      </c>
      <c r="E23" s="14" t="s">
        <v>970</v>
      </c>
      <c r="F23" s="14">
        <v>0</v>
      </c>
      <c r="G23" s="14">
        <v>0</v>
      </c>
      <c r="H23" s="14">
        <f t="shared" si="1"/>
        <v>58.632</v>
      </c>
      <c r="I23" s="14"/>
      <c r="J23" s="14"/>
      <c r="K23" s="14"/>
      <c r="L23" s="14"/>
      <c r="M23" s="14"/>
      <c r="N23" s="14"/>
    </row>
    <row r="24" s="8" customFormat="1" ht="20" customHeight="1" spans="1:14">
      <c r="A24" s="14">
        <v>20</v>
      </c>
      <c r="B24" s="14" t="s">
        <v>971</v>
      </c>
      <c r="C24" s="14" t="s">
        <v>972</v>
      </c>
      <c r="D24" s="14">
        <v>0</v>
      </c>
      <c r="E24" s="14" t="s">
        <v>818</v>
      </c>
      <c r="F24" s="14">
        <v>1</v>
      </c>
      <c r="G24" s="14">
        <v>2</v>
      </c>
      <c r="H24" s="14">
        <f t="shared" si="1"/>
        <v>54.342</v>
      </c>
      <c r="I24" s="14"/>
      <c r="J24" s="14"/>
      <c r="K24" s="14"/>
      <c r="L24" s="14"/>
      <c r="M24" s="14"/>
      <c r="N24" s="14"/>
    </row>
    <row r="25" s="8" customFormat="1" ht="20" customHeight="1" spans="1:14">
      <c r="A25" s="14">
        <v>21</v>
      </c>
      <c r="B25" s="14" t="s">
        <v>973</v>
      </c>
      <c r="C25" s="14" t="s">
        <v>974</v>
      </c>
      <c r="D25" s="14">
        <v>0</v>
      </c>
      <c r="E25" s="14" t="s">
        <v>975</v>
      </c>
      <c r="F25" s="14">
        <v>0</v>
      </c>
      <c r="G25" s="14">
        <v>2</v>
      </c>
      <c r="H25" s="14">
        <f t="shared" si="1"/>
        <v>53.384</v>
      </c>
      <c r="I25" s="14"/>
      <c r="J25" s="14"/>
      <c r="K25" s="14"/>
      <c r="L25" s="14"/>
      <c r="M25" s="14"/>
      <c r="N25" s="14"/>
    </row>
    <row r="26" s="8" customFormat="1" ht="20" customHeight="1" spans="1:14">
      <c r="A26" s="14">
        <v>22</v>
      </c>
      <c r="B26" s="14" t="s">
        <v>976</v>
      </c>
      <c r="C26" s="14" t="s">
        <v>977</v>
      </c>
      <c r="D26" s="14">
        <v>0</v>
      </c>
      <c r="E26" s="14" t="s">
        <v>978</v>
      </c>
      <c r="F26" s="14">
        <v>0</v>
      </c>
      <c r="G26" s="14">
        <v>2</v>
      </c>
      <c r="H26" s="14">
        <f t="shared" si="1"/>
        <v>52.684</v>
      </c>
      <c r="I26" s="14"/>
      <c r="J26" s="14"/>
      <c r="K26" s="14"/>
      <c r="L26" s="14"/>
      <c r="M26" s="14"/>
      <c r="N26" s="14"/>
    </row>
    <row r="27" s="8" customFormat="1" ht="20" customHeight="1" spans="1:14">
      <c r="A27" s="14">
        <v>23</v>
      </c>
      <c r="B27" s="14" t="s">
        <v>979</v>
      </c>
      <c r="C27" s="14" t="s">
        <v>980</v>
      </c>
      <c r="D27" s="14">
        <v>0</v>
      </c>
      <c r="E27" s="14" t="s">
        <v>981</v>
      </c>
      <c r="F27" s="14">
        <v>1</v>
      </c>
      <c r="G27" s="14">
        <v>2</v>
      </c>
      <c r="H27" s="14">
        <f t="shared" si="1"/>
        <v>52.445</v>
      </c>
      <c r="I27" s="14"/>
      <c r="J27" s="14"/>
      <c r="K27" s="14"/>
      <c r="L27" s="14"/>
      <c r="M27" s="14"/>
      <c r="N27" s="14"/>
    </row>
    <row r="28" s="8" customFormat="1" ht="20" customHeight="1" spans="1:14">
      <c r="A28" s="14">
        <v>24</v>
      </c>
      <c r="B28" s="14" t="s">
        <v>982</v>
      </c>
      <c r="C28" s="14" t="s">
        <v>983</v>
      </c>
      <c r="D28" s="14">
        <v>0</v>
      </c>
      <c r="E28" s="14" t="s">
        <v>984</v>
      </c>
      <c r="F28" s="14">
        <v>0</v>
      </c>
      <c r="G28" s="14">
        <v>2</v>
      </c>
      <c r="H28" s="14">
        <f t="shared" si="1"/>
        <v>51.732</v>
      </c>
      <c r="I28" s="14"/>
      <c r="J28" s="14"/>
      <c r="K28" s="14"/>
      <c r="L28" s="14"/>
      <c r="M28" s="14"/>
      <c r="N28" s="14"/>
    </row>
    <row r="29" s="8" customFormat="1" ht="20" customHeight="1" spans="1:14">
      <c r="A29" s="14">
        <v>25</v>
      </c>
      <c r="B29" s="14" t="s">
        <v>985</v>
      </c>
      <c r="C29" s="14" t="s">
        <v>986</v>
      </c>
      <c r="D29" s="14">
        <v>0</v>
      </c>
      <c r="E29" s="14" t="s">
        <v>987</v>
      </c>
      <c r="F29" s="14">
        <v>0</v>
      </c>
      <c r="G29" s="14">
        <v>2</v>
      </c>
      <c r="H29" s="14">
        <f t="shared" si="1"/>
        <v>49.268</v>
      </c>
      <c r="I29" s="14"/>
      <c r="J29" s="14"/>
      <c r="K29" s="14"/>
      <c r="L29" s="14"/>
      <c r="M29" s="14"/>
      <c r="N29" s="14"/>
    </row>
    <row r="30" s="8" customFormat="1" ht="20" customHeight="1" spans="1:14">
      <c r="A30" s="14">
        <v>26</v>
      </c>
      <c r="B30" s="14" t="s">
        <v>988</v>
      </c>
      <c r="C30" s="14" t="s">
        <v>989</v>
      </c>
      <c r="D30" s="14">
        <v>0</v>
      </c>
      <c r="E30" s="14" t="s">
        <v>199</v>
      </c>
      <c r="F30" s="14">
        <v>0</v>
      </c>
      <c r="G30" s="14">
        <v>10</v>
      </c>
      <c r="H30" s="14">
        <f t="shared" si="1"/>
        <v>41.8</v>
      </c>
      <c r="I30" s="14"/>
      <c r="J30" s="14"/>
      <c r="K30" s="14"/>
      <c r="L30" s="14"/>
      <c r="M30" s="14"/>
      <c r="N30" s="14"/>
    </row>
    <row r="31" s="8" customFormat="1" ht="20" customHeight="1" spans="1:14">
      <c r="A31" s="14">
        <v>27</v>
      </c>
      <c r="B31" s="14" t="s">
        <v>990</v>
      </c>
      <c r="C31" s="14" t="s">
        <v>991</v>
      </c>
      <c r="D31" s="14">
        <v>0</v>
      </c>
      <c r="E31" s="14" t="s">
        <v>992</v>
      </c>
      <c r="F31" s="14">
        <v>2</v>
      </c>
      <c r="G31" s="14">
        <v>18</v>
      </c>
      <c r="H31" s="14">
        <f t="shared" si="1"/>
        <v>39.958</v>
      </c>
      <c r="I31" s="14"/>
      <c r="J31" s="14"/>
      <c r="K31" s="14"/>
      <c r="L31" s="14"/>
      <c r="M31" s="14"/>
      <c r="N31" s="14"/>
    </row>
    <row r="32" s="8" customFormat="1" ht="20" customHeight="1" spans="1:14">
      <c r="A32" s="14">
        <v>28</v>
      </c>
      <c r="B32" s="14" t="s">
        <v>993</v>
      </c>
      <c r="C32" s="14" t="s">
        <v>994</v>
      </c>
      <c r="D32" s="14">
        <v>0</v>
      </c>
      <c r="E32" s="14" t="s">
        <v>995</v>
      </c>
      <c r="F32" s="14">
        <v>0</v>
      </c>
      <c r="G32" s="14">
        <v>10</v>
      </c>
      <c r="H32" s="14">
        <f t="shared" si="1"/>
        <v>39.616</v>
      </c>
      <c r="I32" s="14"/>
      <c r="J32" s="14"/>
      <c r="K32" s="14"/>
      <c r="L32" s="14"/>
      <c r="M32" s="14"/>
      <c r="N32" s="14"/>
    </row>
    <row r="33" s="8" customFormat="1" ht="20" customHeight="1" spans="1:14">
      <c r="A33" s="14">
        <v>29</v>
      </c>
      <c r="B33" s="14" t="s">
        <v>996</v>
      </c>
      <c r="C33" s="14" t="s">
        <v>997</v>
      </c>
      <c r="D33" s="14">
        <v>0</v>
      </c>
      <c r="E33" s="14" t="s">
        <v>998</v>
      </c>
      <c r="F33" s="14">
        <v>0</v>
      </c>
      <c r="G33" s="14">
        <v>14</v>
      </c>
      <c r="H33" s="14">
        <f t="shared" si="1"/>
        <v>39.242</v>
      </c>
      <c r="I33" s="14"/>
      <c r="J33" s="14"/>
      <c r="K33" s="14"/>
      <c r="L33" s="14"/>
      <c r="M33" s="14"/>
      <c r="N33" s="14"/>
    </row>
    <row r="34" s="8" customFormat="1" ht="20" customHeight="1" spans="1:14">
      <c r="A34" s="14">
        <v>30</v>
      </c>
      <c r="B34" s="14" t="s">
        <v>999</v>
      </c>
      <c r="C34" s="14" t="s">
        <v>1000</v>
      </c>
      <c r="D34" s="14">
        <v>0</v>
      </c>
      <c r="E34" s="14" t="s">
        <v>1001</v>
      </c>
      <c r="F34" s="14">
        <v>1</v>
      </c>
      <c r="G34" s="14">
        <v>12</v>
      </c>
      <c r="H34" s="14">
        <f t="shared" si="1"/>
        <v>38.7</v>
      </c>
      <c r="I34" s="14"/>
      <c r="J34" s="14"/>
      <c r="K34" s="14"/>
      <c r="L34" s="14"/>
      <c r="M34" s="14"/>
      <c r="N34" s="14"/>
    </row>
    <row r="35" s="8" customFormat="1" ht="20" customHeight="1" spans="1:14">
      <c r="A35" s="14">
        <v>31</v>
      </c>
      <c r="B35" s="14" t="s">
        <v>1002</v>
      </c>
      <c r="C35" s="14" t="s">
        <v>1003</v>
      </c>
      <c r="D35" s="14">
        <v>0</v>
      </c>
      <c r="E35" s="14" t="s">
        <v>848</v>
      </c>
      <c r="F35" s="14">
        <v>1</v>
      </c>
      <c r="G35" s="14">
        <v>16</v>
      </c>
      <c r="H35" s="14">
        <f t="shared" si="1"/>
        <v>36.1</v>
      </c>
      <c r="I35" s="14"/>
      <c r="J35" s="14"/>
      <c r="K35" s="14"/>
      <c r="L35" s="14"/>
      <c r="M35" s="14"/>
      <c r="N35" s="14"/>
    </row>
    <row r="36" s="8" customFormat="1" ht="20" customHeight="1" spans="1:14">
      <c r="A36" s="14">
        <v>32</v>
      </c>
      <c r="B36" s="14" t="s">
        <v>1004</v>
      </c>
      <c r="C36" s="14" t="s">
        <v>1005</v>
      </c>
      <c r="D36" s="14">
        <v>0</v>
      </c>
      <c r="E36" s="14" t="s">
        <v>314</v>
      </c>
      <c r="F36" s="14">
        <v>0</v>
      </c>
      <c r="G36" s="14">
        <v>18</v>
      </c>
      <c r="H36" s="14">
        <f t="shared" si="1"/>
        <v>35.2</v>
      </c>
      <c r="I36" s="14"/>
      <c r="J36" s="14"/>
      <c r="K36" s="14"/>
      <c r="L36" s="14"/>
      <c r="M36" s="14"/>
      <c r="N36" s="14"/>
    </row>
    <row r="37" s="8" customFormat="1" ht="20" customHeight="1" spans="1:14">
      <c r="A37" s="14">
        <v>33</v>
      </c>
      <c r="B37" s="14" t="s">
        <v>1006</v>
      </c>
      <c r="C37" s="14" t="s">
        <v>1007</v>
      </c>
      <c r="D37" s="14">
        <v>0</v>
      </c>
      <c r="E37" s="14" t="s">
        <v>1008</v>
      </c>
      <c r="F37" s="14">
        <v>2</v>
      </c>
      <c r="G37" s="14">
        <v>18</v>
      </c>
      <c r="H37" s="14">
        <f t="shared" si="1"/>
        <v>34.4</v>
      </c>
      <c r="I37" s="14"/>
      <c r="J37" s="14"/>
      <c r="K37" s="14"/>
      <c r="L37" s="14"/>
      <c r="M37" s="14"/>
      <c r="N37" s="14"/>
    </row>
    <row r="38" s="8" customFormat="1" ht="20" customHeight="1" spans="1:14">
      <c r="A38" s="14">
        <v>34</v>
      </c>
      <c r="B38" s="14" t="s">
        <v>1009</v>
      </c>
      <c r="C38" s="14" t="s">
        <v>1010</v>
      </c>
      <c r="D38" s="14">
        <v>0</v>
      </c>
      <c r="E38" s="14" t="s">
        <v>1011</v>
      </c>
      <c r="F38" s="14">
        <v>0</v>
      </c>
      <c r="G38" s="14">
        <v>18</v>
      </c>
      <c r="H38" s="14">
        <f t="shared" si="1"/>
        <v>32.603</v>
      </c>
      <c r="I38" s="14"/>
      <c r="J38" s="14"/>
      <c r="K38" s="14"/>
      <c r="L38" s="14"/>
      <c r="M38" s="14"/>
      <c r="N38" s="14"/>
    </row>
    <row r="39" spans="1:14">
      <c r="A39" s="15" t="s">
        <v>119</v>
      </c>
      <c r="B39" s="15"/>
      <c r="C39" s="15"/>
      <c r="D39" s="15"/>
      <c r="E39" s="15"/>
      <c r="F39" s="15"/>
      <c r="G39" s="15"/>
      <c r="H39" s="30"/>
      <c r="I39" s="15"/>
      <c r="J39" s="15"/>
      <c r="K39" s="15"/>
      <c r="L39" s="15"/>
      <c r="M39" s="15"/>
      <c r="N39" s="15"/>
    </row>
  </sheetData>
  <mergeCells count="3">
    <mergeCell ref="A1:N1"/>
    <mergeCell ref="A2:N2"/>
    <mergeCell ref="A3:N3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"/>
  <sheetViews>
    <sheetView workbookViewId="0">
      <selection activeCell="B13" sqref="B13:C13"/>
    </sheetView>
  </sheetViews>
  <sheetFormatPr defaultColWidth="9" defaultRowHeight="16.8"/>
  <cols>
    <col min="2" max="2" width="16.6634615384615" customWidth="1"/>
    <col min="3" max="3" width="10.7307692307692" customWidth="1"/>
    <col min="4" max="4" width="13.2980769230769" customWidth="1"/>
    <col min="5" max="5" width="14.4230769230769" customWidth="1"/>
    <col min="6" max="6" width="13.9423076923077" customWidth="1"/>
    <col min="7" max="7" width="11.5384615384615" customWidth="1"/>
    <col min="8" max="8" width="19.5480769230769" customWidth="1"/>
    <col min="13" max="13" width="10.4134615384615" customWidth="1"/>
    <col min="14" max="14" width="10.5673076923077" customWidth="1"/>
  </cols>
  <sheetData>
    <row r="1" spans="1:14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ht="39" customHeight="1" spans="1:14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ht="30" customHeight="1" spans="1:14">
      <c r="A3" s="27" t="s">
        <v>1012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ht="53" spans="1:14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</v>
      </c>
      <c r="G4" s="1" t="s">
        <v>10</v>
      </c>
      <c r="H4" s="1" t="s">
        <v>753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</row>
    <row r="5" s="8" customFormat="1" ht="20" customHeight="1" spans="1:14">
      <c r="A5" s="13">
        <v>1</v>
      </c>
      <c r="B5" s="13" t="s">
        <v>1013</v>
      </c>
      <c r="C5" s="13" t="s">
        <v>1014</v>
      </c>
      <c r="D5" s="13">
        <v>100</v>
      </c>
      <c r="E5" s="13" t="s">
        <v>1015</v>
      </c>
      <c r="F5" s="13">
        <v>1</v>
      </c>
      <c r="G5" s="13"/>
      <c r="H5" s="13">
        <f t="shared" ref="H5:H41" si="0">D5*0.3+E5*0.7+F5-G5</f>
        <v>91.368</v>
      </c>
      <c r="I5" s="13"/>
      <c r="J5" s="13"/>
      <c r="K5" s="13"/>
      <c r="L5" s="13"/>
      <c r="M5" s="13"/>
      <c r="N5" s="13" t="s">
        <v>21</v>
      </c>
    </row>
    <row r="6" s="8" customFormat="1" ht="20" customHeight="1" spans="1:14">
      <c r="A6" s="13">
        <v>2</v>
      </c>
      <c r="B6" s="13" t="s">
        <v>1016</v>
      </c>
      <c r="C6" s="13" t="s">
        <v>1017</v>
      </c>
      <c r="D6" s="13">
        <v>100</v>
      </c>
      <c r="E6" s="13" t="s">
        <v>765</v>
      </c>
      <c r="F6" s="13">
        <v>2</v>
      </c>
      <c r="G6" s="13"/>
      <c r="H6" s="13">
        <f t="shared" si="0"/>
        <v>91.045</v>
      </c>
      <c r="I6" s="13"/>
      <c r="J6" s="13"/>
      <c r="K6" s="13"/>
      <c r="L6" s="13"/>
      <c r="M6" s="13" t="s">
        <v>1018</v>
      </c>
      <c r="N6" s="13" t="s">
        <v>21</v>
      </c>
    </row>
    <row r="7" s="8" customFormat="1" ht="20" customHeight="1" spans="1:14">
      <c r="A7" s="13">
        <v>3</v>
      </c>
      <c r="B7" s="13" t="s">
        <v>1019</v>
      </c>
      <c r="C7" s="13" t="s">
        <v>1020</v>
      </c>
      <c r="D7" s="13">
        <v>100</v>
      </c>
      <c r="E7" s="13" t="s">
        <v>1021</v>
      </c>
      <c r="F7" s="13">
        <v>3</v>
      </c>
      <c r="G7" s="13"/>
      <c r="H7" s="13">
        <f t="shared" si="0"/>
        <v>90.813</v>
      </c>
      <c r="I7" s="13"/>
      <c r="J7" s="13"/>
      <c r="K7" s="13"/>
      <c r="L7" s="13"/>
      <c r="M7" s="13" t="s">
        <v>1018</v>
      </c>
      <c r="N7" s="13" t="s">
        <v>21</v>
      </c>
    </row>
    <row r="8" s="8" customFormat="1" ht="20" customHeight="1" spans="1:14">
      <c r="A8" s="13">
        <v>4</v>
      </c>
      <c r="B8" s="13" t="s">
        <v>1022</v>
      </c>
      <c r="C8" s="13" t="s">
        <v>1023</v>
      </c>
      <c r="D8" s="13">
        <v>100</v>
      </c>
      <c r="E8" s="13" t="s">
        <v>1024</v>
      </c>
      <c r="F8" s="13"/>
      <c r="G8" s="13"/>
      <c r="H8" s="13">
        <f t="shared" si="0"/>
        <v>89.787</v>
      </c>
      <c r="I8" s="13"/>
      <c r="J8" s="13"/>
      <c r="K8" s="13"/>
      <c r="L8" s="13"/>
      <c r="M8" s="13" t="s">
        <v>21</v>
      </c>
      <c r="N8" s="13"/>
    </row>
    <row r="9" s="8" customFormat="1" ht="20" customHeight="1" spans="1:14">
      <c r="A9" s="13">
        <v>5</v>
      </c>
      <c r="B9" s="13" t="s">
        <v>1025</v>
      </c>
      <c r="C9" s="13" t="s">
        <v>1026</v>
      </c>
      <c r="D9" s="13">
        <v>100</v>
      </c>
      <c r="E9" s="13" t="s">
        <v>1027</v>
      </c>
      <c r="F9" s="13"/>
      <c r="G9" s="13"/>
      <c r="H9" s="13">
        <f t="shared" si="0"/>
        <v>89.255</v>
      </c>
      <c r="I9" s="13"/>
      <c r="J9" s="13"/>
      <c r="K9" s="13"/>
      <c r="L9" s="13"/>
      <c r="M9" s="13" t="s">
        <v>21</v>
      </c>
      <c r="N9" s="13"/>
    </row>
    <row r="10" s="8" customFormat="1" ht="20" customHeight="1" spans="1:14">
      <c r="A10" s="13">
        <v>6</v>
      </c>
      <c r="B10" s="13" t="s">
        <v>1028</v>
      </c>
      <c r="C10" s="13" t="s">
        <v>1029</v>
      </c>
      <c r="D10" s="13">
        <v>100</v>
      </c>
      <c r="E10" s="13" t="s">
        <v>1030</v>
      </c>
      <c r="F10" s="13"/>
      <c r="G10" s="13"/>
      <c r="H10" s="13">
        <f t="shared" si="0"/>
        <v>88.471</v>
      </c>
      <c r="I10" s="13"/>
      <c r="J10" s="13"/>
      <c r="K10" s="13"/>
      <c r="L10" s="13"/>
      <c r="M10" s="13" t="s">
        <v>21</v>
      </c>
      <c r="N10" s="13"/>
    </row>
    <row r="11" s="8" customFormat="1" ht="20" customHeight="1" spans="1:14">
      <c r="A11" s="13">
        <v>7</v>
      </c>
      <c r="B11" s="13" t="s">
        <v>1031</v>
      </c>
      <c r="C11" s="13" t="s">
        <v>1032</v>
      </c>
      <c r="D11" s="13">
        <v>100</v>
      </c>
      <c r="E11" s="13" t="s">
        <v>1033</v>
      </c>
      <c r="F11" s="13"/>
      <c r="G11" s="13"/>
      <c r="H11" s="13">
        <f t="shared" si="0"/>
        <v>88.429</v>
      </c>
      <c r="I11" s="13"/>
      <c r="J11" s="13"/>
      <c r="K11" s="13"/>
      <c r="L11" s="13"/>
      <c r="M11" s="13" t="s">
        <v>21</v>
      </c>
      <c r="N11" s="13"/>
    </row>
    <row r="12" s="8" customFormat="1" ht="20" customHeight="1" spans="1:14">
      <c r="A12" s="13">
        <v>8</v>
      </c>
      <c r="B12" s="13" t="s">
        <v>1034</v>
      </c>
      <c r="C12" s="13" t="s">
        <v>1035</v>
      </c>
      <c r="D12" s="13">
        <v>97</v>
      </c>
      <c r="E12" s="13" t="s">
        <v>774</v>
      </c>
      <c r="F12" s="13"/>
      <c r="G12" s="13"/>
      <c r="H12" s="13">
        <f t="shared" si="0"/>
        <v>87.116</v>
      </c>
      <c r="I12" s="13"/>
      <c r="J12" s="13"/>
      <c r="K12" s="13"/>
      <c r="L12" s="13"/>
      <c r="M12" s="13" t="s">
        <v>21</v>
      </c>
      <c r="N12" s="13"/>
    </row>
    <row r="13" s="8" customFormat="1" ht="20" customHeight="1" spans="1:14">
      <c r="A13" s="13">
        <v>9</v>
      </c>
      <c r="B13" s="13" t="s">
        <v>1036</v>
      </c>
      <c r="C13" s="13" t="s">
        <v>1037</v>
      </c>
      <c r="D13" s="13">
        <v>95</v>
      </c>
      <c r="E13" s="13" t="s">
        <v>1038</v>
      </c>
      <c r="F13" s="13">
        <v>2</v>
      </c>
      <c r="G13" s="13"/>
      <c r="H13" s="13">
        <f t="shared" si="0"/>
        <v>86.213</v>
      </c>
      <c r="I13" s="13"/>
      <c r="J13" s="13"/>
      <c r="K13" s="13"/>
      <c r="L13" s="13"/>
      <c r="M13" s="13" t="s">
        <v>1018</v>
      </c>
      <c r="N13" s="13" t="s">
        <v>21</v>
      </c>
    </row>
    <row r="14" s="8" customFormat="1" ht="20" customHeight="1" spans="1:14">
      <c r="A14" s="13">
        <v>10</v>
      </c>
      <c r="B14" s="13" t="s">
        <v>1039</v>
      </c>
      <c r="C14" s="13" t="s">
        <v>1040</v>
      </c>
      <c r="D14" s="13">
        <v>95</v>
      </c>
      <c r="E14" s="13" t="s">
        <v>1041</v>
      </c>
      <c r="F14" s="13"/>
      <c r="G14" s="13"/>
      <c r="H14" s="13">
        <f t="shared" si="0"/>
        <v>85.942</v>
      </c>
      <c r="I14" s="13"/>
      <c r="J14" s="13"/>
      <c r="K14" s="13"/>
      <c r="L14" s="13"/>
      <c r="M14" s="13" t="s">
        <v>21</v>
      </c>
      <c r="N14" s="13"/>
    </row>
    <row r="15" s="8" customFormat="1" ht="20" customHeight="1" spans="1:14">
      <c r="A15" s="13">
        <v>11</v>
      </c>
      <c r="B15" s="13" t="s">
        <v>1042</v>
      </c>
      <c r="C15" s="13" t="s">
        <v>1043</v>
      </c>
      <c r="D15" s="13">
        <v>95</v>
      </c>
      <c r="E15" s="13" t="s">
        <v>931</v>
      </c>
      <c r="F15" s="13"/>
      <c r="G15" s="13"/>
      <c r="H15" s="13">
        <f t="shared" si="0"/>
        <v>85.858</v>
      </c>
      <c r="I15" s="13"/>
      <c r="J15" s="13"/>
      <c r="K15" s="13"/>
      <c r="L15" s="13"/>
      <c r="M15" s="13"/>
      <c r="N15" s="13"/>
    </row>
    <row r="16" s="8" customFormat="1" ht="20" customHeight="1" spans="1:14">
      <c r="A16" s="13">
        <v>12</v>
      </c>
      <c r="B16" s="13" t="s">
        <v>1044</v>
      </c>
      <c r="C16" s="13" t="s">
        <v>1045</v>
      </c>
      <c r="D16" s="13">
        <v>95</v>
      </c>
      <c r="E16" s="13" t="s">
        <v>1046</v>
      </c>
      <c r="F16" s="13"/>
      <c r="G16" s="13"/>
      <c r="H16" s="13">
        <f t="shared" si="0"/>
        <v>85.158</v>
      </c>
      <c r="I16" s="13"/>
      <c r="J16" s="13"/>
      <c r="K16" s="13"/>
      <c r="L16" s="13"/>
      <c r="M16" s="13"/>
      <c r="N16" s="13"/>
    </row>
    <row r="17" s="8" customFormat="1" ht="20" customHeight="1" spans="1:14">
      <c r="A17" s="13">
        <v>13</v>
      </c>
      <c r="B17" s="13" t="s">
        <v>1047</v>
      </c>
      <c r="C17" s="13" t="s">
        <v>1048</v>
      </c>
      <c r="D17" s="13">
        <v>95</v>
      </c>
      <c r="E17" s="13" t="s">
        <v>771</v>
      </c>
      <c r="F17" s="13"/>
      <c r="G17" s="13"/>
      <c r="H17" s="13">
        <f t="shared" si="0"/>
        <v>84.703</v>
      </c>
      <c r="I17" s="13"/>
      <c r="J17" s="13"/>
      <c r="K17" s="13"/>
      <c r="L17" s="13"/>
      <c r="M17" s="13"/>
      <c r="N17" s="13"/>
    </row>
    <row r="18" s="8" customFormat="1" ht="20" customHeight="1" spans="1:14">
      <c r="A18" s="13">
        <v>14</v>
      </c>
      <c r="B18" s="13" t="s">
        <v>1049</v>
      </c>
      <c r="C18" s="13" t="s">
        <v>1050</v>
      </c>
      <c r="D18" s="13">
        <v>95</v>
      </c>
      <c r="E18" s="13" t="s">
        <v>992</v>
      </c>
      <c r="F18" s="13"/>
      <c r="G18" s="13"/>
      <c r="H18" s="13">
        <f t="shared" si="0"/>
        <v>84.458</v>
      </c>
      <c r="I18" s="13"/>
      <c r="J18" s="13"/>
      <c r="K18" s="13"/>
      <c r="L18" s="13"/>
      <c r="M18" s="13"/>
      <c r="N18" s="13"/>
    </row>
    <row r="19" s="8" customFormat="1" ht="20" customHeight="1" spans="1:14">
      <c r="A19" s="21">
        <v>15</v>
      </c>
      <c r="B19" s="14" t="s">
        <v>1051</v>
      </c>
      <c r="C19" s="14" t="s">
        <v>1052</v>
      </c>
      <c r="D19" s="14">
        <v>95</v>
      </c>
      <c r="E19" s="14" t="s">
        <v>1038</v>
      </c>
      <c r="F19" s="14"/>
      <c r="G19" s="14"/>
      <c r="H19" s="14">
        <f t="shared" si="0"/>
        <v>84.213</v>
      </c>
      <c r="I19" s="14"/>
      <c r="J19" s="14"/>
      <c r="K19" s="14"/>
      <c r="L19" s="14"/>
      <c r="M19" s="14"/>
      <c r="N19" s="14"/>
    </row>
    <row r="20" s="8" customFormat="1" ht="20" customHeight="1" spans="1:14">
      <c r="A20" s="21">
        <v>16</v>
      </c>
      <c r="B20" s="14" t="s">
        <v>1053</v>
      </c>
      <c r="C20" s="14" t="s">
        <v>1054</v>
      </c>
      <c r="D20" s="14">
        <v>95</v>
      </c>
      <c r="E20" s="14" t="s">
        <v>1055</v>
      </c>
      <c r="F20" s="14"/>
      <c r="G20" s="14"/>
      <c r="H20" s="14">
        <f t="shared" si="0"/>
        <v>84.087</v>
      </c>
      <c r="I20" s="14"/>
      <c r="J20" s="14"/>
      <c r="K20" s="14"/>
      <c r="L20" s="14"/>
      <c r="M20" s="14"/>
      <c r="N20" s="14"/>
    </row>
    <row r="21" s="8" customFormat="1" ht="20" customHeight="1" spans="1:14">
      <c r="A21" s="21">
        <v>17</v>
      </c>
      <c r="B21" s="14" t="s">
        <v>1056</v>
      </c>
      <c r="C21" s="14" t="s">
        <v>1057</v>
      </c>
      <c r="D21" s="14">
        <v>94</v>
      </c>
      <c r="E21" s="14" t="s">
        <v>1058</v>
      </c>
      <c r="F21" s="14"/>
      <c r="G21" s="14"/>
      <c r="H21" s="14">
        <f t="shared" si="0"/>
        <v>83.255</v>
      </c>
      <c r="I21" s="14"/>
      <c r="J21" s="14"/>
      <c r="K21" s="14"/>
      <c r="L21" s="14"/>
      <c r="M21" s="14"/>
      <c r="N21" s="14"/>
    </row>
    <row r="22" s="8" customFormat="1" ht="20" customHeight="1" spans="1:14">
      <c r="A22" s="21">
        <v>18</v>
      </c>
      <c r="B22" s="14" t="s">
        <v>1059</v>
      </c>
      <c r="C22" s="14" t="s">
        <v>1060</v>
      </c>
      <c r="D22" s="14">
        <v>94</v>
      </c>
      <c r="E22" s="14" t="s">
        <v>1061</v>
      </c>
      <c r="F22" s="14">
        <v>1</v>
      </c>
      <c r="G22" s="14">
        <v>1</v>
      </c>
      <c r="H22" s="14">
        <f t="shared" si="0"/>
        <v>82.387</v>
      </c>
      <c r="I22" s="14"/>
      <c r="J22" s="14"/>
      <c r="K22" s="14"/>
      <c r="L22" s="14"/>
      <c r="M22" s="14"/>
      <c r="N22" s="14"/>
    </row>
    <row r="23" s="8" customFormat="1" ht="20" customHeight="1" spans="1:14">
      <c r="A23" s="21">
        <v>19</v>
      </c>
      <c r="B23" s="14" t="s">
        <v>1062</v>
      </c>
      <c r="C23" s="14" t="s">
        <v>1063</v>
      </c>
      <c r="D23" s="14">
        <v>94</v>
      </c>
      <c r="E23" s="14" t="s">
        <v>266</v>
      </c>
      <c r="F23" s="14"/>
      <c r="G23" s="14">
        <v>1</v>
      </c>
      <c r="H23" s="14">
        <f t="shared" si="0"/>
        <v>82.374</v>
      </c>
      <c r="I23" s="14"/>
      <c r="J23" s="14"/>
      <c r="K23" s="14"/>
      <c r="L23" s="14"/>
      <c r="M23" s="14"/>
      <c r="N23" s="14"/>
    </row>
    <row r="24" s="8" customFormat="1" ht="20" customHeight="1" spans="1:14">
      <c r="A24" s="21">
        <v>20</v>
      </c>
      <c r="B24" s="14" t="s">
        <v>1064</v>
      </c>
      <c r="C24" s="14" t="s">
        <v>1065</v>
      </c>
      <c r="D24" s="14">
        <v>94</v>
      </c>
      <c r="E24" s="14" t="s">
        <v>958</v>
      </c>
      <c r="F24" s="14"/>
      <c r="G24" s="14">
        <v>1</v>
      </c>
      <c r="H24" s="14">
        <f t="shared" si="0"/>
        <v>82.003</v>
      </c>
      <c r="I24" s="14"/>
      <c r="J24" s="14"/>
      <c r="K24" s="14"/>
      <c r="L24" s="14"/>
      <c r="M24" s="14"/>
      <c r="N24" s="14"/>
    </row>
    <row r="25" s="8" customFormat="1" ht="20" customHeight="1" spans="1:14">
      <c r="A25" s="21">
        <v>21</v>
      </c>
      <c r="B25" s="14" t="s">
        <v>1066</v>
      </c>
      <c r="C25" s="14" t="s">
        <v>1067</v>
      </c>
      <c r="D25" s="14">
        <v>93</v>
      </c>
      <c r="E25" s="14" t="s">
        <v>1068</v>
      </c>
      <c r="F25" s="14"/>
      <c r="G25" s="14"/>
      <c r="H25" s="14">
        <f t="shared" si="0"/>
        <v>82.003</v>
      </c>
      <c r="I25" s="14"/>
      <c r="J25" s="14"/>
      <c r="K25" s="14"/>
      <c r="L25" s="14"/>
      <c r="M25" s="14"/>
      <c r="N25" s="14"/>
    </row>
    <row r="26" s="8" customFormat="1" ht="20" customHeight="1" spans="1:14">
      <c r="A26" s="21">
        <v>22</v>
      </c>
      <c r="B26" s="14" t="s">
        <v>1069</v>
      </c>
      <c r="C26" s="14" t="s">
        <v>1070</v>
      </c>
      <c r="D26" s="14">
        <v>93</v>
      </c>
      <c r="E26" s="14" t="s">
        <v>1071</v>
      </c>
      <c r="F26" s="14"/>
      <c r="G26" s="14"/>
      <c r="H26" s="14">
        <f t="shared" si="0"/>
        <v>81.884</v>
      </c>
      <c r="I26" s="14"/>
      <c r="J26" s="14"/>
      <c r="K26" s="14"/>
      <c r="L26" s="14"/>
      <c r="M26" s="14"/>
      <c r="N26" s="14"/>
    </row>
    <row r="27" s="8" customFormat="1" ht="20" customHeight="1" spans="1:14">
      <c r="A27" s="21">
        <v>23</v>
      </c>
      <c r="B27" s="14" t="s">
        <v>1072</v>
      </c>
      <c r="C27" s="14" t="s">
        <v>1073</v>
      </c>
      <c r="D27" s="14">
        <v>93</v>
      </c>
      <c r="E27" s="14" t="s">
        <v>984</v>
      </c>
      <c r="F27" s="14"/>
      <c r="G27" s="14"/>
      <c r="H27" s="14">
        <f t="shared" si="0"/>
        <v>81.632</v>
      </c>
      <c r="I27" s="14"/>
      <c r="J27" s="14"/>
      <c r="K27" s="14"/>
      <c r="L27" s="14"/>
      <c r="M27" s="14"/>
      <c r="N27" s="14"/>
    </row>
    <row r="28" s="8" customFormat="1" ht="20" customHeight="1" spans="1:14">
      <c r="A28" s="21">
        <v>24</v>
      </c>
      <c r="B28" s="14" t="s">
        <v>1074</v>
      </c>
      <c r="C28" s="14" t="s">
        <v>1075</v>
      </c>
      <c r="D28" s="14">
        <v>93</v>
      </c>
      <c r="E28" s="14" t="s">
        <v>1076</v>
      </c>
      <c r="F28" s="14"/>
      <c r="G28" s="14"/>
      <c r="H28" s="14">
        <f t="shared" si="0"/>
        <v>80.729</v>
      </c>
      <c r="I28" s="14"/>
      <c r="J28" s="14"/>
      <c r="K28" s="14"/>
      <c r="L28" s="14"/>
      <c r="M28" s="14"/>
      <c r="N28" s="14"/>
    </row>
    <row r="29" s="8" customFormat="1" ht="20" customHeight="1" spans="1:14">
      <c r="A29" s="21">
        <v>25</v>
      </c>
      <c r="B29" s="14" t="s">
        <v>1077</v>
      </c>
      <c r="C29" s="14" t="s">
        <v>1078</v>
      </c>
      <c r="D29" s="14">
        <v>94</v>
      </c>
      <c r="E29" s="14" t="s">
        <v>171</v>
      </c>
      <c r="F29" s="14"/>
      <c r="G29" s="14">
        <v>2</v>
      </c>
      <c r="H29" s="14">
        <f t="shared" si="0"/>
        <v>80.674</v>
      </c>
      <c r="I29" s="14"/>
      <c r="J29" s="14"/>
      <c r="K29" s="14"/>
      <c r="L29" s="14"/>
      <c r="M29" s="14"/>
      <c r="N29" s="14"/>
    </row>
    <row r="30" s="8" customFormat="1" ht="20" customHeight="1" spans="1:14">
      <c r="A30" s="21">
        <v>26</v>
      </c>
      <c r="B30" s="14" t="s">
        <v>1079</v>
      </c>
      <c r="C30" s="14" t="s">
        <v>1080</v>
      </c>
      <c r="D30" s="14">
        <v>94</v>
      </c>
      <c r="E30" s="14" t="s">
        <v>1081</v>
      </c>
      <c r="F30" s="14"/>
      <c r="G30" s="14">
        <v>2</v>
      </c>
      <c r="H30" s="14">
        <f t="shared" si="0"/>
        <v>80.513</v>
      </c>
      <c r="I30" s="14"/>
      <c r="J30" s="14"/>
      <c r="K30" s="14"/>
      <c r="L30" s="14"/>
      <c r="M30" s="14"/>
      <c r="N30" s="14"/>
    </row>
    <row r="31" s="8" customFormat="1" ht="20" customHeight="1" spans="1:14">
      <c r="A31" s="21">
        <v>27</v>
      </c>
      <c r="B31" s="14" t="s">
        <v>1082</v>
      </c>
      <c r="C31" s="14" t="s">
        <v>1083</v>
      </c>
      <c r="D31" s="14">
        <v>91</v>
      </c>
      <c r="E31" s="14" t="s">
        <v>1084</v>
      </c>
      <c r="F31" s="14"/>
      <c r="G31" s="14"/>
      <c r="H31" s="14">
        <f t="shared" si="0"/>
        <v>77.742</v>
      </c>
      <c r="I31" s="14"/>
      <c r="J31" s="14"/>
      <c r="K31" s="14"/>
      <c r="L31" s="14"/>
      <c r="M31" s="14"/>
      <c r="N31" s="14"/>
    </row>
    <row r="32" s="8" customFormat="1" ht="20" customHeight="1" spans="1:14">
      <c r="A32" s="21">
        <v>28</v>
      </c>
      <c r="B32" s="14" t="s">
        <v>1085</v>
      </c>
      <c r="C32" s="14" t="s">
        <v>1086</v>
      </c>
      <c r="D32" s="14">
        <v>93</v>
      </c>
      <c r="E32" s="14" t="s">
        <v>1087</v>
      </c>
      <c r="F32" s="14"/>
      <c r="G32" s="14">
        <v>2</v>
      </c>
      <c r="H32" s="14">
        <f t="shared" si="0"/>
        <v>77.497</v>
      </c>
      <c r="I32" s="14"/>
      <c r="J32" s="14"/>
      <c r="K32" s="14"/>
      <c r="L32" s="14"/>
      <c r="M32" s="14"/>
      <c r="N32" s="14"/>
    </row>
    <row r="33" s="8" customFormat="1" ht="20" customHeight="1" spans="1:14">
      <c r="A33" s="21">
        <v>29</v>
      </c>
      <c r="B33" s="14" t="s">
        <v>1088</v>
      </c>
      <c r="C33" s="14" t="s">
        <v>1089</v>
      </c>
      <c r="D33" s="14">
        <v>90</v>
      </c>
      <c r="E33" s="14" t="s">
        <v>1090</v>
      </c>
      <c r="F33" s="14"/>
      <c r="G33" s="14"/>
      <c r="H33" s="14">
        <f t="shared" si="0"/>
        <v>77.113</v>
      </c>
      <c r="I33" s="14"/>
      <c r="J33" s="14"/>
      <c r="K33" s="14"/>
      <c r="L33" s="14"/>
      <c r="M33" s="14"/>
      <c r="N33" s="14"/>
    </row>
    <row r="34" s="8" customFormat="1" ht="20" customHeight="1" spans="1:14">
      <c r="A34" s="21">
        <v>30</v>
      </c>
      <c r="B34" s="14" t="s">
        <v>1091</v>
      </c>
      <c r="C34" s="14" t="s">
        <v>1092</v>
      </c>
      <c r="D34" s="14">
        <v>90</v>
      </c>
      <c r="E34" s="14" t="s">
        <v>1093</v>
      </c>
      <c r="F34" s="14"/>
      <c r="G34" s="14"/>
      <c r="H34" s="14">
        <f t="shared" si="0"/>
        <v>76.868</v>
      </c>
      <c r="I34" s="14"/>
      <c r="J34" s="14"/>
      <c r="K34" s="14"/>
      <c r="L34" s="14"/>
      <c r="M34" s="14"/>
      <c r="N34" s="14"/>
    </row>
    <row r="35" s="8" customFormat="1" ht="20" customHeight="1" spans="1:14">
      <c r="A35" s="21">
        <v>31</v>
      </c>
      <c r="B35" s="14" t="s">
        <v>1094</v>
      </c>
      <c r="C35" s="14" t="s">
        <v>1095</v>
      </c>
      <c r="D35" s="14">
        <v>90</v>
      </c>
      <c r="E35" s="14" t="s">
        <v>1096</v>
      </c>
      <c r="F35" s="14"/>
      <c r="G35" s="14">
        <v>1</v>
      </c>
      <c r="H35" s="14">
        <f t="shared" si="0"/>
        <v>76.274</v>
      </c>
      <c r="I35" s="14"/>
      <c r="J35" s="14"/>
      <c r="K35" s="14"/>
      <c r="L35" s="14"/>
      <c r="M35" s="14"/>
      <c r="N35" s="14"/>
    </row>
    <row r="36" s="8" customFormat="1" ht="20" customHeight="1" spans="1:14">
      <c r="A36" s="21">
        <v>32</v>
      </c>
      <c r="B36" s="14" t="s">
        <v>1097</v>
      </c>
      <c r="C36" s="14" t="s">
        <v>1098</v>
      </c>
      <c r="D36" s="14">
        <v>93</v>
      </c>
      <c r="E36" s="14" t="s">
        <v>1099</v>
      </c>
      <c r="F36" s="14"/>
      <c r="G36" s="14">
        <v>5</v>
      </c>
      <c r="H36" s="14">
        <f t="shared" si="0"/>
        <v>75.771</v>
      </c>
      <c r="I36" s="14"/>
      <c r="J36" s="14"/>
      <c r="K36" s="14"/>
      <c r="L36" s="14"/>
      <c r="M36" s="14"/>
      <c r="N36" s="14"/>
    </row>
    <row r="37" s="8" customFormat="1" ht="20" customHeight="1" spans="1:14">
      <c r="A37" s="21">
        <v>33</v>
      </c>
      <c r="B37" s="14" t="s">
        <v>1100</v>
      </c>
      <c r="C37" s="14" t="s">
        <v>1101</v>
      </c>
      <c r="D37" s="14">
        <v>90</v>
      </c>
      <c r="E37" s="14" t="s">
        <v>1008</v>
      </c>
      <c r="F37" s="14"/>
      <c r="G37" s="14">
        <v>2</v>
      </c>
      <c r="H37" s="14">
        <f t="shared" si="0"/>
        <v>75.4</v>
      </c>
      <c r="I37" s="14"/>
      <c r="J37" s="14"/>
      <c r="K37" s="14"/>
      <c r="L37" s="14"/>
      <c r="M37" s="14"/>
      <c r="N37" s="14"/>
    </row>
    <row r="38" s="8" customFormat="1" ht="20" customHeight="1" spans="1:14">
      <c r="A38" s="21">
        <v>34</v>
      </c>
      <c r="B38" s="14" t="s">
        <v>1102</v>
      </c>
      <c r="C38" s="14" t="s">
        <v>1103</v>
      </c>
      <c r="D38" s="14">
        <v>90</v>
      </c>
      <c r="E38" s="14" t="s">
        <v>1104</v>
      </c>
      <c r="F38" s="14"/>
      <c r="G38" s="14">
        <v>2</v>
      </c>
      <c r="H38" s="14">
        <f t="shared" si="0"/>
        <v>75.358</v>
      </c>
      <c r="I38" s="14"/>
      <c r="J38" s="14"/>
      <c r="K38" s="14"/>
      <c r="L38" s="14"/>
      <c r="M38" s="14"/>
      <c r="N38" s="14"/>
    </row>
    <row r="39" s="8" customFormat="1" ht="20" customHeight="1" spans="1:14">
      <c r="A39" s="21">
        <v>35</v>
      </c>
      <c r="B39" s="14" t="s">
        <v>1105</v>
      </c>
      <c r="C39" s="14" t="s">
        <v>1106</v>
      </c>
      <c r="D39" s="14">
        <v>90</v>
      </c>
      <c r="E39" s="14" t="s">
        <v>1107</v>
      </c>
      <c r="F39" s="14">
        <v>1.5</v>
      </c>
      <c r="G39" s="14">
        <v>2</v>
      </c>
      <c r="H39" s="14">
        <f t="shared" si="0"/>
        <v>73.274</v>
      </c>
      <c r="I39" s="14"/>
      <c r="J39" s="14"/>
      <c r="K39" s="14"/>
      <c r="L39" s="14"/>
      <c r="M39" s="14"/>
      <c r="N39" s="14"/>
    </row>
    <row r="40" s="8" customFormat="1" ht="20" customHeight="1" spans="1:14">
      <c r="A40" s="21">
        <v>36</v>
      </c>
      <c r="B40" s="14" t="s">
        <v>1108</v>
      </c>
      <c r="C40" s="14" t="s">
        <v>1109</v>
      </c>
      <c r="D40" s="14">
        <v>90</v>
      </c>
      <c r="E40" s="14" t="s">
        <v>1110</v>
      </c>
      <c r="F40" s="14"/>
      <c r="G40" s="14">
        <v>6</v>
      </c>
      <c r="H40" s="14">
        <f t="shared" si="0"/>
        <v>69.587</v>
      </c>
      <c r="I40" s="14"/>
      <c r="J40" s="14"/>
      <c r="K40" s="14"/>
      <c r="L40" s="14"/>
      <c r="M40" s="14"/>
      <c r="N40" s="14"/>
    </row>
    <row r="41" s="8" customFormat="1" ht="20" customHeight="1" spans="1:14">
      <c r="A41" s="21">
        <v>37</v>
      </c>
      <c r="B41" s="14" t="s">
        <v>1111</v>
      </c>
      <c r="C41" s="14" t="s">
        <v>1112</v>
      </c>
      <c r="D41" s="14">
        <v>90</v>
      </c>
      <c r="E41" s="14" t="s">
        <v>1113</v>
      </c>
      <c r="F41" s="14"/>
      <c r="G41" s="14">
        <v>10</v>
      </c>
      <c r="H41" s="14">
        <f t="shared" si="0"/>
        <v>63.284</v>
      </c>
      <c r="I41" s="14"/>
      <c r="J41" s="14"/>
      <c r="K41" s="14"/>
      <c r="L41" s="14"/>
      <c r="M41" s="14"/>
      <c r="N41" s="14"/>
    </row>
    <row r="42" spans="1:15">
      <c r="A42" s="19" t="s">
        <v>119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</row>
  </sheetData>
  <mergeCells count="4">
    <mergeCell ref="A1:N1"/>
    <mergeCell ref="A2:N2"/>
    <mergeCell ref="A3:N3"/>
    <mergeCell ref="A42:O42"/>
  </mergeCells>
  <pageMargins left="0.75" right="0.75" top="1" bottom="1" header="0.5" footer="0.5"/>
  <pageSetup paperSize="9" scale="90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workbookViewId="0">
      <selection activeCell="A19" sqref="$A19:$XFD19"/>
    </sheetView>
  </sheetViews>
  <sheetFormatPr defaultColWidth="8.88461538461539" defaultRowHeight="16.8"/>
  <cols>
    <col min="2" max="2" width="17.3076923076923" customWidth="1"/>
    <col min="3" max="3" width="11.375" customWidth="1"/>
    <col min="4" max="5" width="12.9711538461538" customWidth="1"/>
    <col min="6" max="6" width="12.8173076923077" customWidth="1"/>
    <col min="7" max="7" width="12.1826923076923" customWidth="1"/>
    <col min="8" max="8" width="18.5865384615385" customWidth="1"/>
    <col min="12" max="12" width="10.25" customWidth="1"/>
    <col min="13" max="13" width="9.60576923076923" customWidth="1"/>
    <col min="14" max="14" width="10.4134615384615" customWidth="1"/>
  </cols>
  <sheetData>
    <row r="1" spans="1:1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34" customHeight="1" spans="1:14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ht="27" customHeight="1" spans="1:14">
      <c r="A3" s="11" t="s">
        <v>1114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ht="53" spans="1:14">
      <c r="A4" s="12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9</v>
      </c>
      <c r="G4" s="12" t="s">
        <v>10</v>
      </c>
      <c r="H4" s="12" t="s">
        <v>753</v>
      </c>
      <c r="I4" s="12" t="s">
        <v>12</v>
      </c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="8" customFormat="1" ht="20" customHeight="1" spans="1:14">
      <c r="A5" s="13">
        <v>1</v>
      </c>
      <c r="B5" s="13" t="s">
        <v>1115</v>
      </c>
      <c r="C5" s="13" t="s">
        <v>1116</v>
      </c>
      <c r="D5" s="13">
        <v>85</v>
      </c>
      <c r="E5" s="13">
        <v>86.2</v>
      </c>
      <c r="F5" s="13">
        <v>36</v>
      </c>
      <c r="G5" s="13"/>
      <c r="H5" s="13">
        <f t="shared" ref="H5:H12" si="0">D5*0.3+E5*0.7+F5-G5</f>
        <v>121.84</v>
      </c>
      <c r="I5" s="13"/>
      <c r="J5" s="13"/>
      <c r="K5" s="13"/>
      <c r="L5" s="13"/>
      <c r="M5" s="13"/>
      <c r="N5" s="13"/>
    </row>
    <row r="6" s="8" customFormat="1" ht="20" customHeight="1" spans="1:14">
      <c r="A6" s="13">
        <v>2</v>
      </c>
      <c r="B6" s="13" t="s">
        <v>1117</v>
      </c>
      <c r="C6" s="13" t="s">
        <v>1118</v>
      </c>
      <c r="D6" s="13">
        <v>100</v>
      </c>
      <c r="E6" s="13">
        <v>85.6</v>
      </c>
      <c r="F6" s="13">
        <v>5</v>
      </c>
      <c r="G6" s="13"/>
      <c r="H6" s="13">
        <f t="shared" si="0"/>
        <v>94.92</v>
      </c>
      <c r="I6" s="13"/>
      <c r="J6" s="13"/>
      <c r="K6" s="13"/>
      <c r="L6" s="13"/>
      <c r="M6" s="13" t="s">
        <v>21</v>
      </c>
      <c r="N6" s="13"/>
    </row>
    <row r="7" s="8" customFormat="1" ht="20" customHeight="1" spans="1:14">
      <c r="A7" s="13">
        <v>3</v>
      </c>
      <c r="B7" s="13" t="s">
        <v>1119</v>
      </c>
      <c r="C7" s="13" t="s">
        <v>1120</v>
      </c>
      <c r="D7" s="13">
        <v>95</v>
      </c>
      <c r="E7" s="13">
        <v>87.4</v>
      </c>
      <c r="F7" s="13">
        <v>1</v>
      </c>
      <c r="G7" s="13"/>
      <c r="H7" s="13">
        <f t="shared" si="0"/>
        <v>90.68</v>
      </c>
      <c r="I7" s="13"/>
      <c r="J7" s="13"/>
      <c r="K7" s="13"/>
      <c r="L7" s="13" t="s">
        <v>21</v>
      </c>
      <c r="M7" s="13" t="s">
        <v>21</v>
      </c>
      <c r="N7" s="13"/>
    </row>
    <row r="8" s="8" customFormat="1" ht="20" customHeight="1" spans="1:14">
      <c r="A8" s="13">
        <v>4</v>
      </c>
      <c r="B8" s="13" t="s">
        <v>1121</v>
      </c>
      <c r="C8" s="13" t="s">
        <v>1122</v>
      </c>
      <c r="D8" s="13">
        <v>94</v>
      </c>
      <c r="E8" s="13">
        <v>88.07</v>
      </c>
      <c r="F8" s="13"/>
      <c r="G8" s="13"/>
      <c r="H8" s="13">
        <f t="shared" si="0"/>
        <v>89.849</v>
      </c>
      <c r="I8" s="13"/>
      <c r="J8" s="13"/>
      <c r="K8" s="13"/>
      <c r="L8" s="13" t="s">
        <v>21</v>
      </c>
      <c r="M8" s="13" t="s">
        <v>21</v>
      </c>
      <c r="N8" s="13"/>
    </row>
    <row r="9" s="8" customFormat="1" ht="20" customHeight="1" spans="1:14">
      <c r="A9" s="13">
        <v>5</v>
      </c>
      <c r="B9" s="13" t="s">
        <v>1123</v>
      </c>
      <c r="C9" s="13" t="s">
        <v>1124</v>
      </c>
      <c r="D9" s="13">
        <v>97.5</v>
      </c>
      <c r="E9" s="13">
        <v>82.13</v>
      </c>
      <c r="F9" s="13">
        <v>3</v>
      </c>
      <c r="G9" s="13"/>
      <c r="H9" s="13">
        <f t="shared" si="0"/>
        <v>89.741</v>
      </c>
      <c r="I9" s="13"/>
      <c r="J9" s="13"/>
      <c r="K9" s="13"/>
      <c r="L9" s="13"/>
      <c r="M9" s="13"/>
      <c r="N9" s="13"/>
    </row>
    <row r="10" s="8" customFormat="1" ht="20" customHeight="1" spans="1:14">
      <c r="A10" s="13">
        <v>6</v>
      </c>
      <c r="B10" s="13" t="s">
        <v>1125</v>
      </c>
      <c r="C10" s="13" t="s">
        <v>1126</v>
      </c>
      <c r="D10" s="13">
        <v>99</v>
      </c>
      <c r="E10" s="13">
        <v>84.4</v>
      </c>
      <c r="F10" s="13"/>
      <c r="G10" s="13"/>
      <c r="H10" s="13">
        <f t="shared" si="0"/>
        <v>88.78</v>
      </c>
      <c r="I10" s="13"/>
      <c r="J10" s="13"/>
      <c r="K10" s="13"/>
      <c r="L10" s="13"/>
      <c r="M10" s="13" t="s">
        <v>21</v>
      </c>
      <c r="N10" s="13"/>
    </row>
    <row r="11" s="8" customFormat="1" ht="20" customHeight="1" spans="1:14">
      <c r="A11" s="13">
        <v>7</v>
      </c>
      <c r="B11" s="13" t="s">
        <v>1127</v>
      </c>
      <c r="C11" s="13" t="s">
        <v>1128</v>
      </c>
      <c r="D11" s="13">
        <v>95</v>
      </c>
      <c r="E11" s="13">
        <v>83.87</v>
      </c>
      <c r="F11" s="13">
        <v>1</v>
      </c>
      <c r="G11" s="13"/>
      <c r="H11" s="13">
        <f t="shared" si="0"/>
        <v>88.209</v>
      </c>
      <c r="I11" s="13"/>
      <c r="J11" s="13"/>
      <c r="K11" s="13"/>
      <c r="L11" s="13"/>
      <c r="M11" s="13" t="s">
        <v>21</v>
      </c>
      <c r="N11" s="13"/>
    </row>
    <row r="12" s="8" customFormat="1" ht="20" customHeight="1" spans="1:14">
      <c r="A12" s="13">
        <v>8</v>
      </c>
      <c r="B12" s="13" t="s">
        <v>1129</v>
      </c>
      <c r="C12" s="13" t="s">
        <v>1130</v>
      </c>
      <c r="D12" s="13">
        <v>99.5</v>
      </c>
      <c r="E12" s="13">
        <v>82.8</v>
      </c>
      <c r="F12" s="13"/>
      <c r="G12" s="13"/>
      <c r="H12" s="13">
        <f t="shared" si="0"/>
        <v>87.81</v>
      </c>
      <c r="I12" s="13"/>
      <c r="J12" s="13"/>
      <c r="K12" s="13"/>
      <c r="L12" s="13"/>
      <c r="M12" s="13" t="s">
        <v>21</v>
      </c>
      <c r="N12" s="13"/>
    </row>
    <row r="13" s="8" customFormat="1" ht="20" customHeight="1" spans="1:14">
      <c r="A13" s="13">
        <v>9</v>
      </c>
      <c r="B13" s="13" t="s">
        <v>1129</v>
      </c>
      <c r="C13" s="13" t="s">
        <v>1131</v>
      </c>
      <c r="D13" s="13">
        <v>96.5</v>
      </c>
      <c r="E13" s="13">
        <v>83.87</v>
      </c>
      <c r="F13" s="13"/>
      <c r="G13" s="13"/>
      <c r="H13" s="13">
        <f t="shared" ref="H13:H46" si="1">D13*0.3+E13*0.7+F13-G13</f>
        <v>87.659</v>
      </c>
      <c r="I13" s="13"/>
      <c r="J13" s="13"/>
      <c r="K13" s="13"/>
      <c r="L13" s="13"/>
      <c r="M13" s="13"/>
      <c r="N13" s="13"/>
    </row>
    <row r="14" s="8" customFormat="1" ht="20" customHeight="1" spans="1:14">
      <c r="A14" s="13">
        <v>10</v>
      </c>
      <c r="B14" s="13" t="s">
        <v>1132</v>
      </c>
      <c r="C14" s="13" t="s">
        <v>1133</v>
      </c>
      <c r="D14" s="13">
        <v>95.5</v>
      </c>
      <c r="E14" s="13">
        <v>81.4</v>
      </c>
      <c r="F14" s="13">
        <v>2</v>
      </c>
      <c r="G14" s="13"/>
      <c r="H14" s="13">
        <f t="shared" si="1"/>
        <v>87.63</v>
      </c>
      <c r="I14" s="13"/>
      <c r="J14" s="13"/>
      <c r="K14" s="13"/>
      <c r="L14" s="13"/>
      <c r="M14" s="13"/>
      <c r="N14" s="13" t="s">
        <v>21</v>
      </c>
    </row>
    <row r="15" s="8" customFormat="1" ht="20" customHeight="1" spans="1:14">
      <c r="A15" s="13">
        <v>11</v>
      </c>
      <c r="B15" s="13" t="s">
        <v>1134</v>
      </c>
      <c r="C15" s="13" t="s">
        <v>1135</v>
      </c>
      <c r="D15" s="13">
        <v>90.5</v>
      </c>
      <c r="E15" s="13">
        <v>85.67</v>
      </c>
      <c r="F15" s="13"/>
      <c r="G15" s="13"/>
      <c r="H15" s="13">
        <f t="shared" si="1"/>
        <v>87.119</v>
      </c>
      <c r="I15" s="13"/>
      <c r="J15" s="13"/>
      <c r="K15" s="13"/>
      <c r="L15" s="13"/>
      <c r="M15" s="13"/>
      <c r="N15" s="13"/>
    </row>
    <row r="16" s="8" customFormat="1" ht="20" customHeight="1" spans="1:14">
      <c r="A16" s="13">
        <v>12</v>
      </c>
      <c r="B16" s="13" t="s">
        <v>1136</v>
      </c>
      <c r="C16" s="13" t="s">
        <v>1137</v>
      </c>
      <c r="D16" s="13">
        <v>97</v>
      </c>
      <c r="E16" s="13">
        <v>82.8</v>
      </c>
      <c r="F16" s="13"/>
      <c r="G16" s="13"/>
      <c r="H16" s="13">
        <f t="shared" si="1"/>
        <v>87.06</v>
      </c>
      <c r="I16" s="13"/>
      <c r="J16" s="13"/>
      <c r="K16" s="13"/>
      <c r="L16" s="13"/>
      <c r="M16" s="13"/>
      <c r="N16" s="13"/>
    </row>
    <row r="17" s="8" customFormat="1" ht="20" customHeight="1" spans="1:14">
      <c r="A17" s="13">
        <v>13</v>
      </c>
      <c r="B17" s="13" t="s">
        <v>1138</v>
      </c>
      <c r="C17" s="13" t="s">
        <v>1139</v>
      </c>
      <c r="D17" s="13">
        <v>92</v>
      </c>
      <c r="E17" s="13">
        <v>83.33</v>
      </c>
      <c r="F17" s="13">
        <v>1</v>
      </c>
      <c r="G17" s="13"/>
      <c r="H17" s="13">
        <f t="shared" si="1"/>
        <v>86.931</v>
      </c>
      <c r="I17" s="13"/>
      <c r="J17" s="13"/>
      <c r="K17" s="13"/>
      <c r="L17" s="13"/>
      <c r="M17" s="13"/>
      <c r="N17" s="13"/>
    </row>
    <row r="18" s="8" customFormat="1" ht="20" customHeight="1" spans="1:14">
      <c r="A18" s="13">
        <v>14</v>
      </c>
      <c r="B18" s="13" t="s">
        <v>1140</v>
      </c>
      <c r="C18" s="13" t="s">
        <v>1141</v>
      </c>
      <c r="D18" s="13">
        <v>98.5</v>
      </c>
      <c r="E18" s="13">
        <v>81.6</v>
      </c>
      <c r="F18" s="13"/>
      <c r="G18" s="13"/>
      <c r="H18" s="13">
        <f t="shared" si="1"/>
        <v>86.67</v>
      </c>
      <c r="I18" s="13"/>
      <c r="J18" s="13"/>
      <c r="K18" s="13"/>
      <c r="L18" s="13"/>
      <c r="M18" s="13"/>
      <c r="N18" s="13"/>
    </row>
    <row r="19" s="8" customFormat="1" ht="20" customHeight="1" spans="1:14">
      <c r="A19" s="13">
        <v>15</v>
      </c>
      <c r="B19" s="13" t="s">
        <v>1142</v>
      </c>
      <c r="C19" s="13" t="s">
        <v>1143</v>
      </c>
      <c r="D19" s="13">
        <v>95.5</v>
      </c>
      <c r="E19" s="13">
        <v>78.87</v>
      </c>
      <c r="F19" s="13">
        <v>2</v>
      </c>
      <c r="G19" s="13"/>
      <c r="H19" s="13">
        <f t="shared" si="1"/>
        <v>85.859</v>
      </c>
      <c r="I19" s="13"/>
      <c r="J19" s="13"/>
      <c r="K19" s="13"/>
      <c r="L19" s="13"/>
      <c r="M19" s="13"/>
      <c r="N19" s="13" t="s">
        <v>21</v>
      </c>
    </row>
    <row r="20" s="8" customFormat="1" ht="20" customHeight="1" spans="1:14">
      <c r="A20" s="13">
        <v>16</v>
      </c>
      <c r="B20" s="13" t="s">
        <v>1144</v>
      </c>
      <c r="C20" s="13" t="s">
        <v>1145</v>
      </c>
      <c r="D20" s="13">
        <v>96.5</v>
      </c>
      <c r="E20" s="13">
        <v>81.07</v>
      </c>
      <c r="F20" s="13"/>
      <c r="G20" s="13"/>
      <c r="H20" s="13">
        <f t="shared" si="1"/>
        <v>85.699</v>
      </c>
      <c r="I20" s="13"/>
      <c r="J20" s="13"/>
      <c r="K20" s="13"/>
      <c r="L20" s="13"/>
      <c r="M20" s="13"/>
      <c r="N20" s="13"/>
    </row>
    <row r="21" s="8" customFormat="1" ht="20" customHeight="1" spans="1:14">
      <c r="A21" s="21">
        <v>17</v>
      </c>
      <c r="B21" s="21" t="s">
        <v>1146</v>
      </c>
      <c r="C21" s="21" t="s">
        <v>1147</v>
      </c>
      <c r="D21" s="21">
        <v>98</v>
      </c>
      <c r="E21" s="21">
        <v>76.2</v>
      </c>
      <c r="F21" s="21">
        <v>2</v>
      </c>
      <c r="G21" s="21"/>
      <c r="H21" s="21">
        <f t="shared" si="1"/>
        <v>84.74</v>
      </c>
      <c r="I21" s="21"/>
      <c r="J21" s="21"/>
      <c r="K21" s="21"/>
      <c r="L21" s="21"/>
      <c r="M21" s="21"/>
      <c r="N21" s="21"/>
    </row>
    <row r="22" s="8" customFormat="1" ht="20" customHeight="1" spans="1:14">
      <c r="A22" s="21">
        <v>18</v>
      </c>
      <c r="B22" s="14" t="s">
        <v>1148</v>
      </c>
      <c r="C22" s="14" t="s">
        <v>1149</v>
      </c>
      <c r="D22" s="14">
        <v>92</v>
      </c>
      <c r="E22" s="14">
        <v>78.73</v>
      </c>
      <c r="F22" s="14"/>
      <c r="G22" s="14"/>
      <c r="H22" s="14">
        <f t="shared" si="1"/>
        <v>82.711</v>
      </c>
      <c r="I22" s="14"/>
      <c r="J22" s="14"/>
      <c r="K22" s="14"/>
      <c r="L22" s="14"/>
      <c r="M22" s="14"/>
      <c r="N22" s="14"/>
    </row>
    <row r="23" s="8" customFormat="1" ht="20" customHeight="1" spans="1:14">
      <c r="A23" s="21">
        <v>19</v>
      </c>
      <c r="B23" s="14" t="s">
        <v>1150</v>
      </c>
      <c r="C23" s="14" t="s">
        <v>1151</v>
      </c>
      <c r="D23" s="14">
        <v>90</v>
      </c>
      <c r="E23" s="14">
        <v>79.07</v>
      </c>
      <c r="F23" s="14"/>
      <c r="G23" s="14"/>
      <c r="H23" s="14">
        <f t="shared" si="1"/>
        <v>82.349</v>
      </c>
      <c r="I23" s="14"/>
      <c r="J23" s="14"/>
      <c r="K23" s="14"/>
      <c r="L23" s="14"/>
      <c r="M23" s="14"/>
      <c r="N23" s="14"/>
    </row>
    <row r="24" s="8" customFormat="1" ht="20" customHeight="1" spans="1:14">
      <c r="A24" s="21">
        <v>20</v>
      </c>
      <c r="B24" s="14" t="s">
        <v>1152</v>
      </c>
      <c r="C24" s="14" t="s">
        <v>1153</v>
      </c>
      <c r="D24" s="14">
        <v>92</v>
      </c>
      <c r="E24" s="14">
        <v>78.13</v>
      </c>
      <c r="F24" s="14"/>
      <c r="G24" s="14"/>
      <c r="H24" s="14">
        <f t="shared" si="1"/>
        <v>82.291</v>
      </c>
      <c r="I24" s="14"/>
      <c r="J24" s="14"/>
      <c r="K24" s="14"/>
      <c r="L24" s="14"/>
      <c r="M24" s="14"/>
      <c r="N24" s="14"/>
    </row>
    <row r="25" s="8" customFormat="1" ht="20" customHeight="1" spans="1:14">
      <c r="A25" s="21">
        <v>21</v>
      </c>
      <c r="B25" s="14" t="s">
        <v>1154</v>
      </c>
      <c r="C25" s="14" t="s">
        <v>1155</v>
      </c>
      <c r="D25" s="14">
        <v>93</v>
      </c>
      <c r="E25" s="14">
        <v>79.8</v>
      </c>
      <c r="F25" s="14"/>
      <c r="G25" s="14">
        <v>2</v>
      </c>
      <c r="H25" s="14">
        <f t="shared" si="1"/>
        <v>81.76</v>
      </c>
      <c r="I25" s="14"/>
      <c r="J25" s="14"/>
      <c r="K25" s="14"/>
      <c r="L25" s="14"/>
      <c r="M25" s="14"/>
      <c r="N25" s="14"/>
    </row>
    <row r="26" s="8" customFormat="1" ht="20" customHeight="1" spans="1:14">
      <c r="A26" s="21">
        <v>22</v>
      </c>
      <c r="B26" s="14" t="s">
        <v>1156</v>
      </c>
      <c r="C26" s="14" t="s">
        <v>1157</v>
      </c>
      <c r="D26" s="14">
        <v>92</v>
      </c>
      <c r="E26" s="14">
        <v>75.93</v>
      </c>
      <c r="F26" s="14">
        <v>1</v>
      </c>
      <c r="G26" s="14"/>
      <c r="H26" s="14">
        <f t="shared" si="1"/>
        <v>81.751</v>
      </c>
      <c r="I26" s="14"/>
      <c r="J26" s="14"/>
      <c r="K26" s="14"/>
      <c r="L26" s="14"/>
      <c r="M26" s="14"/>
      <c r="N26" s="14"/>
    </row>
    <row r="27" s="8" customFormat="1" ht="20" customHeight="1" spans="1:14">
      <c r="A27" s="21">
        <v>23</v>
      </c>
      <c r="B27" s="14" t="s">
        <v>1158</v>
      </c>
      <c r="C27" s="14" t="s">
        <v>1159</v>
      </c>
      <c r="D27" s="14">
        <v>95</v>
      </c>
      <c r="E27" s="14">
        <v>78.87</v>
      </c>
      <c r="F27" s="14"/>
      <c r="G27" s="14">
        <v>2</v>
      </c>
      <c r="H27" s="14">
        <f t="shared" si="1"/>
        <v>81.709</v>
      </c>
      <c r="I27" s="14"/>
      <c r="J27" s="14"/>
      <c r="K27" s="14"/>
      <c r="L27" s="14"/>
      <c r="M27" s="14"/>
      <c r="N27" s="14"/>
    </row>
    <row r="28" s="8" customFormat="1" ht="20" customHeight="1" spans="1:14">
      <c r="A28" s="21">
        <v>24</v>
      </c>
      <c r="B28" s="14" t="s">
        <v>1160</v>
      </c>
      <c r="C28" s="14" t="s">
        <v>1161</v>
      </c>
      <c r="D28" s="14">
        <v>90</v>
      </c>
      <c r="E28" s="14">
        <v>76.33</v>
      </c>
      <c r="F28" s="14">
        <v>1</v>
      </c>
      <c r="G28" s="14"/>
      <c r="H28" s="14">
        <f t="shared" si="1"/>
        <v>81.431</v>
      </c>
      <c r="I28" s="14"/>
      <c r="J28" s="14"/>
      <c r="K28" s="14"/>
      <c r="L28" s="14"/>
      <c r="M28" s="14"/>
      <c r="N28" s="14"/>
    </row>
    <row r="29" s="8" customFormat="1" ht="20" customHeight="1" spans="1:14">
      <c r="A29" s="21">
        <v>25</v>
      </c>
      <c r="B29" s="14" t="s">
        <v>1162</v>
      </c>
      <c r="C29" s="14" t="s">
        <v>1163</v>
      </c>
      <c r="D29" s="14">
        <v>94.5</v>
      </c>
      <c r="E29" s="14">
        <v>75.4</v>
      </c>
      <c r="F29" s="14"/>
      <c r="G29" s="14"/>
      <c r="H29" s="14">
        <f t="shared" si="1"/>
        <v>81.13</v>
      </c>
      <c r="I29" s="14"/>
      <c r="J29" s="14"/>
      <c r="K29" s="14"/>
      <c r="L29" s="14"/>
      <c r="M29" s="14"/>
      <c r="N29" s="14"/>
    </row>
    <row r="30" s="8" customFormat="1" ht="20" customHeight="1" spans="1:14">
      <c r="A30" s="21">
        <v>26</v>
      </c>
      <c r="B30" s="14" t="s">
        <v>1164</v>
      </c>
      <c r="C30" s="14" t="s">
        <v>1165</v>
      </c>
      <c r="D30" s="14">
        <v>99</v>
      </c>
      <c r="E30" s="14">
        <v>76.6</v>
      </c>
      <c r="F30" s="14"/>
      <c r="G30" s="14">
        <v>4</v>
      </c>
      <c r="H30" s="14">
        <f t="shared" si="1"/>
        <v>79.32</v>
      </c>
      <c r="I30" s="14"/>
      <c r="J30" s="14"/>
      <c r="K30" s="14"/>
      <c r="L30" s="14"/>
      <c r="M30" s="14"/>
      <c r="N30" s="14"/>
    </row>
    <row r="31" s="8" customFormat="1" ht="20" customHeight="1" spans="1:14">
      <c r="A31" s="21">
        <v>27</v>
      </c>
      <c r="B31" s="14" t="s">
        <v>1166</v>
      </c>
      <c r="C31" s="14" t="s">
        <v>1167</v>
      </c>
      <c r="D31" s="14">
        <v>89</v>
      </c>
      <c r="E31" s="14">
        <v>74.4</v>
      </c>
      <c r="F31" s="14"/>
      <c r="G31" s="14"/>
      <c r="H31" s="14">
        <f t="shared" si="1"/>
        <v>78.78</v>
      </c>
      <c r="I31" s="14"/>
      <c r="J31" s="14"/>
      <c r="K31" s="14"/>
      <c r="L31" s="14"/>
      <c r="M31" s="14"/>
      <c r="N31" s="14"/>
    </row>
    <row r="32" s="8" customFormat="1" ht="20" customHeight="1" spans="1:14">
      <c r="A32" s="21">
        <v>28</v>
      </c>
      <c r="B32" s="14" t="s">
        <v>1168</v>
      </c>
      <c r="C32" s="14" t="s">
        <v>1169</v>
      </c>
      <c r="D32" s="14">
        <v>100</v>
      </c>
      <c r="E32" s="14">
        <v>78.13</v>
      </c>
      <c r="F32" s="14"/>
      <c r="G32" s="14">
        <v>6</v>
      </c>
      <c r="H32" s="14">
        <f t="shared" si="1"/>
        <v>78.691</v>
      </c>
      <c r="I32" s="14"/>
      <c r="J32" s="14"/>
      <c r="K32" s="14"/>
      <c r="L32" s="14"/>
      <c r="M32" s="14"/>
      <c r="N32" s="14"/>
    </row>
    <row r="33" s="8" customFormat="1" ht="20" customHeight="1" spans="1:14">
      <c r="A33" s="21">
        <v>29</v>
      </c>
      <c r="B33" s="14" t="s">
        <v>1170</v>
      </c>
      <c r="C33" s="14" t="s">
        <v>1171</v>
      </c>
      <c r="D33" s="14">
        <v>92</v>
      </c>
      <c r="E33" s="14">
        <v>72.87</v>
      </c>
      <c r="F33" s="14"/>
      <c r="G33" s="14"/>
      <c r="H33" s="14">
        <f t="shared" si="1"/>
        <v>78.609</v>
      </c>
      <c r="I33" s="14"/>
      <c r="J33" s="14"/>
      <c r="K33" s="14"/>
      <c r="L33" s="14"/>
      <c r="M33" s="14"/>
      <c r="N33" s="14"/>
    </row>
    <row r="34" s="8" customFormat="1" ht="20" customHeight="1" spans="1:14">
      <c r="A34" s="21">
        <v>30</v>
      </c>
      <c r="B34" s="14" t="s">
        <v>1172</v>
      </c>
      <c r="C34" s="14" t="s">
        <v>1173</v>
      </c>
      <c r="D34" s="14">
        <v>97</v>
      </c>
      <c r="E34" s="14">
        <v>77.87</v>
      </c>
      <c r="F34" s="14"/>
      <c r="G34" s="14">
        <v>6</v>
      </c>
      <c r="H34" s="14">
        <f t="shared" si="1"/>
        <v>77.609</v>
      </c>
      <c r="I34" s="14"/>
      <c r="J34" s="14"/>
      <c r="K34" s="14"/>
      <c r="L34" s="14"/>
      <c r="M34" s="14"/>
      <c r="N34" s="14"/>
    </row>
    <row r="35" s="8" customFormat="1" ht="20" customHeight="1" spans="1:14">
      <c r="A35" s="21">
        <v>31</v>
      </c>
      <c r="B35" s="14" t="s">
        <v>1174</v>
      </c>
      <c r="C35" s="14" t="s">
        <v>1175</v>
      </c>
      <c r="D35" s="14">
        <v>86.5</v>
      </c>
      <c r="E35" s="14">
        <v>73.2</v>
      </c>
      <c r="F35" s="14"/>
      <c r="G35" s="14"/>
      <c r="H35" s="14">
        <f t="shared" si="1"/>
        <v>77.19</v>
      </c>
      <c r="I35" s="14"/>
      <c r="J35" s="14"/>
      <c r="K35" s="14"/>
      <c r="L35" s="14"/>
      <c r="M35" s="14"/>
      <c r="N35" s="14"/>
    </row>
    <row r="36" s="8" customFormat="1" ht="20" customHeight="1" spans="1:14">
      <c r="A36" s="21">
        <v>32</v>
      </c>
      <c r="B36" s="14" t="s">
        <v>1176</v>
      </c>
      <c r="C36" s="14" t="s">
        <v>1177</v>
      </c>
      <c r="D36" s="14">
        <v>100</v>
      </c>
      <c r="E36" s="14">
        <v>75.87</v>
      </c>
      <c r="F36" s="14"/>
      <c r="G36" s="14">
        <v>6</v>
      </c>
      <c r="H36" s="14">
        <f t="shared" si="1"/>
        <v>77.109</v>
      </c>
      <c r="I36" s="14"/>
      <c r="J36" s="14"/>
      <c r="K36" s="14"/>
      <c r="L36" s="14"/>
      <c r="M36" s="14"/>
      <c r="N36" s="14"/>
    </row>
    <row r="37" s="8" customFormat="1" ht="20" customHeight="1" spans="1:14">
      <c r="A37" s="21">
        <v>33</v>
      </c>
      <c r="B37" s="14" t="s">
        <v>1178</v>
      </c>
      <c r="C37" s="14" t="s">
        <v>1179</v>
      </c>
      <c r="D37" s="14">
        <v>89.5</v>
      </c>
      <c r="E37" s="14">
        <v>74.53</v>
      </c>
      <c r="F37" s="14"/>
      <c r="G37" s="14">
        <v>2</v>
      </c>
      <c r="H37" s="14">
        <f t="shared" si="1"/>
        <v>77.021</v>
      </c>
      <c r="I37" s="14"/>
      <c r="J37" s="14"/>
      <c r="K37" s="14"/>
      <c r="L37" s="14"/>
      <c r="M37" s="14"/>
      <c r="N37" s="14"/>
    </row>
    <row r="38" s="8" customFormat="1" ht="20" customHeight="1" spans="1:14">
      <c r="A38" s="21">
        <v>34</v>
      </c>
      <c r="B38" s="14" t="s">
        <v>1180</v>
      </c>
      <c r="C38" s="14" t="s">
        <v>1181</v>
      </c>
      <c r="D38" s="14">
        <v>96.5</v>
      </c>
      <c r="E38" s="14">
        <v>71</v>
      </c>
      <c r="F38" s="14"/>
      <c r="G38" s="14">
        <v>2</v>
      </c>
      <c r="H38" s="14">
        <f t="shared" si="1"/>
        <v>76.65</v>
      </c>
      <c r="I38" s="14"/>
      <c r="J38" s="14"/>
      <c r="K38" s="14"/>
      <c r="L38" s="14"/>
      <c r="M38" s="14"/>
      <c r="N38" s="14"/>
    </row>
    <row r="39" s="8" customFormat="1" ht="20" customHeight="1" spans="1:14">
      <c r="A39" s="21">
        <v>35</v>
      </c>
      <c r="B39" s="14" t="s">
        <v>1182</v>
      </c>
      <c r="C39" s="14" t="s">
        <v>1183</v>
      </c>
      <c r="D39" s="14">
        <v>95</v>
      </c>
      <c r="E39" s="14">
        <v>69.4</v>
      </c>
      <c r="F39" s="14"/>
      <c r="G39" s="14">
        <v>2</v>
      </c>
      <c r="H39" s="14">
        <f t="shared" si="1"/>
        <v>75.08</v>
      </c>
      <c r="I39" s="14"/>
      <c r="J39" s="14"/>
      <c r="K39" s="14"/>
      <c r="L39" s="14"/>
      <c r="M39" s="14"/>
      <c r="N39" s="14"/>
    </row>
    <row r="40" s="8" customFormat="1" ht="20" customHeight="1" spans="1:14">
      <c r="A40" s="21">
        <v>36</v>
      </c>
      <c r="B40" s="14" t="s">
        <v>1184</v>
      </c>
      <c r="C40" s="14" t="s">
        <v>1185</v>
      </c>
      <c r="D40" s="14">
        <v>96</v>
      </c>
      <c r="E40" s="14">
        <v>72.27</v>
      </c>
      <c r="F40" s="14"/>
      <c r="G40" s="14">
        <v>6</v>
      </c>
      <c r="H40" s="14">
        <f t="shared" si="1"/>
        <v>73.389</v>
      </c>
      <c r="I40" s="14"/>
      <c r="J40" s="14"/>
      <c r="K40" s="14"/>
      <c r="L40" s="14"/>
      <c r="M40" s="14"/>
      <c r="N40" s="14"/>
    </row>
    <row r="41" s="8" customFormat="1" ht="20" customHeight="1" spans="1:14">
      <c r="A41" s="21">
        <v>37</v>
      </c>
      <c r="B41" s="14" t="s">
        <v>1186</v>
      </c>
      <c r="C41" s="14" t="s">
        <v>1187</v>
      </c>
      <c r="D41" s="14">
        <v>98</v>
      </c>
      <c r="E41" s="14">
        <v>74.33</v>
      </c>
      <c r="F41" s="14"/>
      <c r="G41" s="14">
        <v>10</v>
      </c>
      <c r="H41" s="14">
        <f t="shared" si="1"/>
        <v>71.431</v>
      </c>
      <c r="I41" s="14"/>
      <c r="J41" s="14"/>
      <c r="K41" s="14"/>
      <c r="L41" s="14"/>
      <c r="M41" s="14"/>
      <c r="N41" s="14"/>
    </row>
    <row r="42" s="8" customFormat="1" ht="20" customHeight="1" spans="1:14">
      <c r="A42" s="21">
        <v>38</v>
      </c>
      <c r="B42" s="14" t="s">
        <v>1188</v>
      </c>
      <c r="C42" s="14" t="s">
        <v>1189</v>
      </c>
      <c r="D42" s="14">
        <v>100</v>
      </c>
      <c r="E42" s="14">
        <v>62.93</v>
      </c>
      <c r="F42" s="14"/>
      <c r="G42" s="14">
        <v>4</v>
      </c>
      <c r="H42" s="14">
        <f t="shared" si="1"/>
        <v>70.051</v>
      </c>
      <c r="I42" s="14"/>
      <c r="J42" s="14"/>
      <c r="K42" s="14"/>
      <c r="L42" s="14"/>
      <c r="M42" s="14"/>
      <c r="N42" s="14"/>
    </row>
    <row r="43" s="8" customFormat="1" ht="20" customHeight="1" spans="1:14">
      <c r="A43" s="21">
        <v>39</v>
      </c>
      <c r="B43" s="14" t="s">
        <v>1190</v>
      </c>
      <c r="C43" s="14" t="s">
        <v>1191</v>
      </c>
      <c r="D43" s="14">
        <v>94.5</v>
      </c>
      <c r="E43" s="14">
        <v>70.67</v>
      </c>
      <c r="F43" s="14"/>
      <c r="G43" s="14">
        <v>8</v>
      </c>
      <c r="H43" s="14">
        <f t="shared" si="1"/>
        <v>69.819</v>
      </c>
      <c r="I43" s="14"/>
      <c r="J43" s="14"/>
      <c r="K43" s="14"/>
      <c r="L43" s="14"/>
      <c r="M43" s="14"/>
      <c r="N43" s="14"/>
    </row>
    <row r="44" s="8" customFormat="1" ht="20" customHeight="1" spans="1:14">
      <c r="A44" s="21">
        <v>40</v>
      </c>
      <c r="B44" s="14" t="s">
        <v>1192</v>
      </c>
      <c r="C44" s="14" t="s">
        <v>1193</v>
      </c>
      <c r="D44" s="14">
        <v>97</v>
      </c>
      <c r="E44" s="14">
        <v>79</v>
      </c>
      <c r="F44" s="14"/>
      <c r="G44" s="14">
        <v>15</v>
      </c>
      <c r="H44" s="14">
        <f t="shared" si="1"/>
        <v>69.4</v>
      </c>
      <c r="I44" s="14"/>
      <c r="J44" s="14"/>
      <c r="K44" s="14"/>
      <c r="L44" s="14"/>
      <c r="M44" s="14"/>
      <c r="N44" s="14"/>
    </row>
    <row r="45" s="8" customFormat="1" ht="20" customHeight="1" spans="1:14">
      <c r="A45" s="21">
        <v>41</v>
      </c>
      <c r="B45" s="14" t="s">
        <v>1194</v>
      </c>
      <c r="C45" s="14" t="s">
        <v>1195</v>
      </c>
      <c r="D45" s="14">
        <v>97</v>
      </c>
      <c r="E45" s="14">
        <v>69</v>
      </c>
      <c r="F45" s="14"/>
      <c r="G45" s="14">
        <v>10</v>
      </c>
      <c r="H45" s="14">
        <f t="shared" si="1"/>
        <v>67.4</v>
      </c>
      <c r="I45" s="14"/>
      <c r="J45" s="14"/>
      <c r="K45" s="14"/>
      <c r="L45" s="14"/>
      <c r="M45" s="14"/>
      <c r="N45" s="14"/>
    </row>
    <row r="46" s="8" customFormat="1" ht="20" customHeight="1" spans="1:14">
      <c r="A46" s="21">
        <v>42</v>
      </c>
      <c r="B46" s="14" t="s">
        <v>1196</v>
      </c>
      <c r="C46" s="14" t="s">
        <v>1197</v>
      </c>
      <c r="D46" s="14">
        <v>87.5</v>
      </c>
      <c r="E46" s="14">
        <v>62.53</v>
      </c>
      <c r="F46" s="14"/>
      <c r="G46" s="14">
        <v>18</v>
      </c>
      <c r="H46" s="14">
        <f t="shared" si="1"/>
        <v>52.021</v>
      </c>
      <c r="I46" s="14"/>
      <c r="J46" s="14"/>
      <c r="K46" s="14"/>
      <c r="L46" s="14"/>
      <c r="M46" s="14"/>
      <c r="N46" s="14"/>
    </row>
    <row r="47" spans="1:14">
      <c r="A47" s="15" t="s">
        <v>119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</row>
  </sheetData>
  <mergeCells count="4">
    <mergeCell ref="A1:N1"/>
    <mergeCell ref="A2:N2"/>
    <mergeCell ref="A3:N3"/>
    <mergeCell ref="A47:N47"/>
  </mergeCells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6"/>
  <sheetViews>
    <sheetView workbookViewId="0">
      <selection activeCell="A11" sqref="$A11:$XFD12"/>
    </sheetView>
  </sheetViews>
  <sheetFormatPr defaultColWidth="8.75" defaultRowHeight="16.8"/>
  <cols>
    <col min="2" max="2" width="17.2980769230769" customWidth="1"/>
    <col min="3" max="3" width="11.2115384615385" customWidth="1"/>
    <col min="4" max="5" width="12.6538461538462" customWidth="1"/>
    <col min="6" max="6" width="13.2980769230769" customWidth="1"/>
    <col min="7" max="7" width="12.1730769230769" customWidth="1"/>
    <col min="8" max="8" width="17.9423076923077" customWidth="1"/>
    <col min="12" max="12" width="10.4134615384615" customWidth="1"/>
    <col min="13" max="13" width="11.6923076923077" customWidth="1"/>
    <col min="14" max="14" width="11.0576923076923" customWidth="1"/>
  </cols>
  <sheetData>
    <row r="1" spans="1:1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32" customHeight="1" spans="1:14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ht="27" customHeight="1" spans="1:14">
      <c r="A3" s="11" t="s">
        <v>1198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ht="53" spans="1:14">
      <c r="A4" s="12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9</v>
      </c>
      <c r="G4" s="12" t="s">
        <v>10</v>
      </c>
      <c r="H4" s="12" t="s">
        <v>1199</v>
      </c>
      <c r="I4" s="12" t="s">
        <v>12</v>
      </c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="8" customFormat="1" ht="20" customHeight="1" spans="1:14">
      <c r="A5" s="13">
        <v>1</v>
      </c>
      <c r="B5" s="13" t="s">
        <v>1200</v>
      </c>
      <c r="C5" s="13" t="s">
        <v>1201</v>
      </c>
      <c r="D5" s="13">
        <v>90.18</v>
      </c>
      <c r="E5" s="13">
        <v>87.13</v>
      </c>
      <c r="F5" s="13">
        <v>1</v>
      </c>
      <c r="G5" s="13"/>
      <c r="H5" s="13">
        <f t="shared" ref="H5:H45" si="0">D5*0.3+E5*0.7+F5-G5</f>
        <v>89.045</v>
      </c>
      <c r="I5" s="13"/>
      <c r="J5" s="13"/>
      <c r="K5" s="13"/>
      <c r="L5" s="13" t="s">
        <v>21</v>
      </c>
      <c r="M5" s="13" t="s">
        <v>21</v>
      </c>
      <c r="N5" s="13"/>
    </row>
    <row r="6" s="8" customFormat="1" ht="20" customHeight="1" spans="1:14">
      <c r="A6" s="13">
        <v>2</v>
      </c>
      <c r="B6" s="13" t="s">
        <v>1202</v>
      </c>
      <c r="C6" s="13" t="s">
        <v>1203</v>
      </c>
      <c r="D6" s="13">
        <v>91.55</v>
      </c>
      <c r="E6" s="13">
        <v>86.2</v>
      </c>
      <c r="F6" s="13"/>
      <c r="G6" s="13"/>
      <c r="H6" s="13">
        <f t="shared" si="0"/>
        <v>87.805</v>
      </c>
      <c r="I6" s="13"/>
      <c r="J6" s="13"/>
      <c r="K6" s="13"/>
      <c r="L6" s="13"/>
      <c r="M6" s="13" t="s">
        <v>21</v>
      </c>
      <c r="N6" s="13"/>
    </row>
    <row r="7" s="8" customFormat="1" ht="20" customHeight="1" spans="1:14">
      <c r="A7" s="13">
        <v>3</v>
      </c>
      <c r="B7" s="13" t="s">
        <v>1204</v>
      </c>
      <c r="C7" s="13" t="s">
        <v>1205</v>
      </c>
      <c r="D7" s="13">
        <v>88.92</v>
      </c>
      <c r="E7" s="13">
        <v>85.53</v>
      </c>
      <c r="F7" s="13">
        <v>1</v>
      </c>
      <c r="G7" s="13"/>
      <c r="H7" s="13">
        <f t="shared" si="0"/>
        <v>87.547</v>
      </c>
      <c r="I7" s="13"/>
      <c r="J7" s="13"/>
      <c r="K7" s="13"/>
      <c r="L7" s="13"/>
      <c r="M7" s="13" t="s">
        <v>21</v>
      </c>
      <c r="N7" s="13"/>
    </row>
    <row r="8" s="8" customFormat="1" ht="20" customHeight="1" spans="1:14">
      <c r="A8" s="13">
        <v>4</v>
      </c>
      <c r="B8" s="13" t="s">
        <v>1206</v>
      </c>
      <c r="C8" s="13" t="s">
        <v>1207</v>
      </c>
      <c r="D8" s="13">
        <v>91.26</v>
      </c>
      <c r="E8" s="13">
        <v>83.98</v>
      </c>
      <c r="F8" s="13">
        <v>1</v>
      </c>
      <c r="G8" s="13"/>
      <c r="H8" s="13">
        <f t="shared" si="0"/>
        <v>87.164</v>
      </c>
      <c r="I8" s="13"/>
      <c r="J8" s="13"/>
      <c r="K8" s="13"/>
      <c r="L8" s="13"/>
      <c r="M8" s="13" t="s">
        <v>21</v>
      </c>
      <c r="N8" s="13"/>
    </row>
    <row r="9" s="8" customFormat="1" ht="20" customHeight="1" spans="1:14">
      <c r="A9" s="13">
        <v>5</v>
      </c>
      <c r="B9" s="13" t="s">
        <v>1208</v>
      </c>
      <c r="C9" s="13" t="s">
        <v>1209</v>
      </c>
      <c r="D9" s="13">
        <v>93.76</v>
      </c>
      <c r="E9" s="13">
        <v>81.47</v>
      </c>
      <c r="F9" s="13">
        <v>2</v>
      </c>
      <c r="G9" s="13"/>
      <c r="H9" s="13">
        <f t="shared" si="0"/>
        <v>87.157</v>
      </c>
      <c r="I9" s="13"/>
      <c r="J9" s="13"/>
      <c r="K9" s="13"/>
      <c r="L9" s="13"/>
      <c r="M9" s="13"/>
      <c r="N9" s="13" t="s">
        <v>21</v>
      </c>
    </row>
    <row r="10" s="8" customFormat="1" ht="20" customHeight="1" spans="1:14">
      <c r="A10" s="13">
        <v>6</v>
      </c>
      <c r="B10" s="13" t="s">
        <v>1210</v>
      </c>
      <c r="C10" s="13" t="s">
        <v>1211</v>
      </c>
      <c r="D10" s="13">
        <v>87.24</v>
      </c>
      <c r="E10" s="13">
        <v>85.13</v>
      </c>
      <c r="F10" s="13">
        <v>1</v>
      </c>
      <c r="G10" s="13"/>
      <c r="H10" s="13">
        <f t="shared" si="0"/>
        <v>86.763</v>
      </c>
      <c r="I10" s="13"/>
      <c r="J10" s="13"/>
      <c r="K10" s="13"/>
      <c r="L10" s="13"/>
      <c r="M10" s="13" t="s">
        <v>21</v>
      </c>
      <c r="N10" s="13"/>
    </row>
    <row r="11" s="8" customFormat="1" ht="20" customHeight="1" spans="1:14">
      <c r="A11" s="13">
        <v>7</v>
      </c>
      <c r="B11" s="13" t="s">
        <v>1212</v>
      </c>
      <c r="C11" s="13" t="s">
        <v>1213</v>
      </c>
      <c r="D11" s="13">
        <v>89.55</v>
      </c>
      <c r="E11" s="13">
        <v>83.33</v>
      </c>
      <c r="F11" s="13">
        <v>1.5</v>
      </c>
      <c r="G11" s="13"/>
      <c r="H11" s="13">
        <f t="shared" si="0"/>
        <v>86.696</v>
      </c>
      <c r="I11" s="13"/>
      <c r="J11" s="13"/>
      <c r="K11" s="13"/>
      <c r="L11" s="13"/>
      <c r="M11" s="13"/>
      <c r="N11" s="13" t="s">
        <v>21</v>
      </c>
    </row>
    <row r="12" s="8" customFormat="1" ht="20" customHeight="1" spans="1:14">
      <c r="A12" s="13">
        <v>8</v>
      </c>
      <c r="B12" s="13" t="s">
        <v>1214</v>
      </c>
      <c r="C12" s="13" t="s">
        <v>1215</v>
      </c>
      <c r="D12" s="13">
        <v>92.31</v>
      </c>
      <c r="E12" s="13">
        <v>80.27</v>
      </c>
      <c r="F12" s="13">
        <v>2</v>
      </c>
      <c r="G12" s="13"/>
      <c r="H12" s="13">
        <f t="shared" si="0"/>
        <v>85.882</v>
      </c>
      <c r="I12" s="13"/>
      <c r="J12" s="13"/>
      <c r="K12" s="13"/>
      <c r="L12" s="13"/>
      <c r="M12" s="13"/>
      <c r="N12" s="13" t="s">
        <v>21</v>
      </c>
    </row>
    <row r="13" s="8" customFormat="1" ht="20" customHeight="1" spans="1:14">
      <c r="A13" s="13">
        <v>9</v>
      </c>
      <c r="B13" s="13" t="s">
        <v>1216</v>
      </c>
      <c r="C13" s="13" t="s">
        <v>1217</v>
      </c>
      <c r="D13" s="13">
        <v>88.59</v>
      </c>
      <c r="E13" s="13">
        <v>83.87</v>
      </c>
      <c r="F13" s="13"/>
      <c r="G13" s="13"/>
      <c r="H13" s="13">
        <f t="shared" si="0"/>
        <v>85.286</v>
      </c>
      <c r="I13" s="13"/>
      <c r="J13" s="13"/>
      <c r="K13" s="13"/>
      <c r="L13" s="13"/>
      <c r="M13" s="13" t="s">
        <v>21</v>
      </c>
      <c r="N13" s="13"/>
    </row>
    <row r="14" s="8" customFormat="1" ht="20" customHeight="1" spans="1:14">
      <c r="A14" s="13">
        <v>10</v>
      </c>
      <c r="B14" s="13" t="s">
        <v>1218</v>
      </c>
      <c r="C14" s="13" t="s">
        <v>1219</v>
      </c>
      <c r="D14" s="13">
        <v>89.56</v>
      </c>
      <c r="E14" s="13">
        <v>81.87</v>
      </c>
      <c r="F14" s="13">
        <v>1</v>
      </c>
      <c r="G14" s="13"/>
      <c r="H14" s="13">
        <f t="shared" si="0"/>
        <v>85.177</v>
      </c>
      <c r="I14" s="13"/>
      <c r="J14" s="13"/>
      <c r="K14" s="13"/>
      <c r="L14" s="13"/>
      <c r="M14" s="13"/>
      <c r="N14" s="13"/>
    </row>
    <row r="15" s="8" customFormat="1" ht="20" customHeight="1" spans="1:14">
      <c r="A15" s="13">
        <v>11</v>
      </c>
      <c r="B15" s="13" t="s">
        <v>1220</v>
      </c>
      <c r="C15" s="13" t="s">
        <v>1221</v>
      </c>
      <c r="D15" s="13">
        <v>90.04</v>
      </c>
      <c r="E15" s="13">
        <v>81.4</v>
      </c>
      <c r="F15" s="13">
        <v>1</v>
      </c>
      <c r="G15" s="13"/>
      <c r="H15" s="13">
        <f t="shared" si="0"/>
        <v>84.992</v>
      </c>
      <c r="I15" s="13"/>
      <c r="J15" s="13"/>
      <c r="K15" s="13"/>
      <c r="L15" s="13"/>
      <c r="M15" s="13"/>
      <c r="N15" s="13" t="s">
        <v>21</v>
      </c>
    </row>
    <row r="16" s="8" customFormat="1" ht="20" customHeight="1" spans="1:14">
      <c r="A16" s="13">
        <v>12</v>
      </c>
      <c r="B16" s="13" t="s">
        <v>1222</v>
      </c>
      <c r="C16" s="13" t="s">
        <v>1223</v>
      </c>
      <c r="D16" s="13">
        <v>88.31</v>
      </c>
      <c r="E16" s="13">
        <v>83.13</v>
      </c>
      <c r="F16" s="13"/>
      <c r="G16" s="13"/>
      <c r="H16" s="13">
        <f t="shared" si="0"/>
        <v>84.684</v>
      </c>
      <c r="I16" s="13"/>
      <c r="J16" s="13"/>
      <c r="K16" s="13"/>
      <c r="L16" s="13"/>
      <c r="M16" s="13"/>
      <c r="N16" s="13"/>
    </row>
    <row r="17" s="8" customFormat="1" ht="20" customHeight="1" spans="1:14">
      <c r="A17" s="13">
        <v>13</v>
      </c>
      <c r="B17" s="13" t="s">
        <v>1224</v>
      </c>
      <c r="C17" s="13" t="s">
        <v>1225</v>
      </c>
      <c r="D17" s="13">
        <v>91.35</v>
      </c>
      <c r="E17" s="13">
        <v>81.33</v>
      </c>
      <c r="F17" s="13"/>
      <c r="G17" s="13"/>
      <c r="H17" s="13">
        <f t="shared" si="0"/>
        <v>84.336</v>
      </c>
      <c r="I17" s="13"/>
      <c r="J17" s="13"/>
      <c r="K17" s="13"/>
      <c r="L17" s="13"/>
      <c r="M17" s="13"/>
      <c r="N17" s="13"/>
    </row>
    <row r="18" s="8" customFormat="1" ht="20" customHeight="1" spans="1:14">
      <c r="A18" s="13">
        <v>14</v>
      </c>
      <c r="B18" s="13" t="s">
        <v>1226</v>
      </c>
      <c r="C18" s="13" t="s">
        <v>1227</v>
      </c>
      <c r="D18" s="13">
        <v>89.71</v>
      </c>
      <c r="E18" s="13">
        <v>79.47</v>
      </c>
      <c r="F18" s="13">
        <v>1</v>
      </c>
      <c r="G18" s="13"/>
      <c r="H18" s="13">
        <f t="shared" si="0"/>
        <v>83.542</v>
      </c>
      <c r="I18" s="13"/>
      <c r="J18" s="13"/>
      <c r="K18" s="13"/>
      <c r="L18" s="13"/>
      <c r="M18" s="13"/>
      <c r="N18" s="13"/>
    </row>
    <row r="19" s="8" customFormat="1" ht="20" customHeight="1" spans="1:14">
      <c r="A19" s="13">
        <v>15</v>
      </c>
      <c r="B19" s="13" t="s">
        <v>1228</v>
      </c>
      <c r="C19" s="13" t="s">
        <v>1229</v>
      </c>
      <c r="D19" s="13">
        <v>86.72</v>
      </c>
      <c r="E19" s="13">
        <v>82</v>
      </c>
      <c r="F19" s="13"/>
      <c r="G19" s="13"/>
      <c r="H19" s="13">
        <f t="shared" si="0"/>
        <v>83.416</v>
      </c>
      <c r="I19" s="13"/>
      <c r="J19" s="13"/>
      <c r="K19" s="13"/>
      <c r="L19" s="13"/>
      <c r="M19" s="13"/>
      <c r="N19" s="13"/>
    </row>
    <row r="20" s="8" customFormat="1" ht="20" customHeight="1" spans="1:14">
      <c r="A20" s="13">
        <v>16</v>
      </c>
      <c r="B20" s="13" t="s">
        <v>1230</v>
      </c>
      <c r="C20" s="13" t="s">
        <v>1231</v>
      </c>
      <c r="D20" s="13">
        <v>89.21</v>
      </c>
      <c r="E20" s="13">
        <v>78.07</v>
      </c>
      <c r="F20" s="13">
        <v>2</v>
      </c>
      <c r="G20" s="13"/>
      <c r="H20" s="13">
        <f t="shared" si="0"/>
        <v>83.412</v>
      </c>
      <c r="I20" s="13"/>
      <c r="J20" s="13"/>
      <c r="K20" s="13"/>
      <c r="L20" s="13"/>
      <c r="M20" s="13"/>
      <c r="N20" s="13"/>
    </row>
    <row r="21" s="8" customFormat="1" ht="20" customHeight="1" spans="1:14">
      <c r="A21" s="21">
        <v>17</v>
      </c>
      <c r="B21" s="21" t="s">
        <v>1232</v>
      </c>
      <c r="C21" s="21" t="s">
        <v>1233</v>
      </c>
      <c r="D21" s="21">
        <v>88.76</v>
      </c>
      <c r="E21" s="21">
        <v>79</v>
      </c>
      <c r="F21" s="21">
        <v>1</v>
      </c>
      <c r="G21" s="21"/>
      <c r="H21" s="21">
        <f t="shared" si="0"/>
        <v>82.928</v>
      </c>
      <c r="I21" s="21"/>
      <c r="J21" s="21"/>
      <c r="K21" s="21"/>
      <c r="L21" s="21"/>
      <c r="M21" s="21"/>
      <c r="N21" s="21"/>
    </row>
    <row r="22" s="8" customFormat="1" ht="20" customHeight="1" spans="1:14">
      <c r="A22" s="21">
        <v>18</v>
      </c>
      <c r="B22" s="14" t="s">
        <v>1234</v>
      </c>
      <c r="C22" s="14" t="s">
        <v>1235</v>
      </c>
      <c r="D22" s="14">
        <v>89.1</v>
      </c>
      <c r="E22" s="14">
        <v>80.13</v>
      </c>
      <c r="F22" s="14"/>
      <c r="G22" s="14"/>
      <c r="H22" s="14">
        <f t="shared" si="0"/>
        <v>82.821</v>
      </c>
      <c r="I22" s="14"/>
      <c r="J22" s="14"/>
      <c r="K22" s="14"/>
      <c r="L22" s="14"/>
      <c r="M22" s="14"/>
      <c r="N22" s="14"/>
    </row>
    <row r="23" s="8" customFormat="1" ht="20" customHeight="1" spans="1:14">
      <c r="A23" s="21">
        <v>19</v>
      </c>
      <c r="B23" s="14" t="s">
        <v>1236</v>
      </c>
      <c r="C23" s="14" t="s">
        <v>1237</v>
      </c>
      <c r="D23" s="14">
        <v>89.76</v>
      </c>
      <c r="E23" s="14">
        <v>79.4</v>
      </c>
      <c r="F23" s="14"/>
      <c r="G23" s="14"/>
      <c r="H23" s="14">
        <f t="shared" si="0"/>
        <v>82.508</v>
      </c>
      <c r="I23" s="14"/>
      <c r="J23" s="14"/>
      <c r="K23" s="14"/>
      <c r="L23" s="14"/>
      <c r="M23" s="14"/>
      <c r="N23" s="14"/>
    </row>
    <row r="24" s="8" customFormat="1" ht="20" customHeight="1" spans="1:14">
      <c r="A24" s="21">
        <v>20</v>
      </c>
      <c r="B24" s="14" t="s">
        <v>1238</v>
      </c>
      <c r="C24" s="14" t="s">
        <v>1239</v>
      </c>
      <c r="D24" s="14">
        <v>91.59</v>
      </c>
      <c r="E24" s="14">
        <v>77</v>
      </c>
      <c r="F24" s="14">
        <v>1</v>
      </c>
      <c r="G24" s="14"/>
      <c r="H24" s="14">
        <f t="shared" si="0"/>
        <v>82.377</v>
      </c>
      <c r="I24" s="14"/>
      <c r="J24" s="14"/>
      <c r="K24" s="14"/>
      <c r="L24" s="14"/>
      <c r="M24" s="14"/>
      <c r="N24" s="14"/>
    </row>
    <row r="25" s="8" customFormat="1" ht="20" customHeight="1" spans="1:14">
      <c r="A25" s="21">
        <v>21</v>
      </c>
      <c r="B25" s="14" t="s">
        <v>1240</v>
      </c>
      <c r="C25" s="14" t="s">
        <v>1241</v>
      </c>
      <c r="D25" s="14">
        <v>90.03</v>
      </c>
      <c r="E25" s="14">
        <v>77.47</v>
      </c>
      <c r="F25" s="14">
        <v>1</v>
      </c>
      <c r="G25" s="14"/>
      <c r="H25" s="14">
        <f t="shared" si="0"/>
        <v>82.238</v>
      </c>
      <c r="I25" s="14"/>
      <c r="J25" s="14"/>
      <c r="K25" s="14"/>
      <c r="L25" s="14"/>
      <c r="M25" s="14"/>
      <c r="N25" s="14"/>
    </row>
    <row r="26" s="8" customFormat="1" ht="20" customHeight="1" spans="1:14">
      <c r="A26" s="21">
        <v>22</v>
      </c>
      <c r="B26" s="14" t="s">
        <v>1242</v>
      </c>
      <c r="C26" s="14" t="s">
        <v>1243</v>
      </c>
      <c r="D26" s="14">
        <v>90.83</v>
      </c>
      <c r="E26" s="14">
        <v>77.93</v>
      </c>
      <c r="F26" s="14"/>
      <c r="G26" s="14"/>
      <c r="H26" s="14">
        <f t="shared" si="0"/>
        <v>81.8</v>
      </c>
      <c r="I26" s="14"/>
      <c r="J26" s="14"/>
      <c r="K26" s="14"/>
      <c r="L26" s="14"/>
      <c r="M26" s="14"/>
      <c r="N26" s="14"/>
    </row>
    <row r="27" s="8" customFormat="1" ht="20" customHeight="1" spans="1:14">
      <c r="A27" s="21">
        <v>23</v>
      </c>
      <c r="B27" s="14" t="s">
        <v>1244</v>
      </c>
      <c r="C27" s="14" t="s">
        <v>1245</v>
      </c>
      <c r="D27" s="14">
        <v>87.2</v>
      </c>
      <c r="E27" s="14">
        <v>77.47</v>
      </c>
      <c r="F27" s="14">
        <v>1</v>
      </c>
      <c r="G27" s="14"/>
      <c r="H27" s="14">
        <f t="shared" si="0"/>
        <v>81.389</v>
      </c>
      <c r="I27" s="14"/>
      <c r="J27" s="14"/>
      <c r="K27" s="14"/>
      <c r="L27" s="14"/>
      <c r="M27" s="14"/>
      <c r="N27" s="14"/>
    </row>
    <row r="28" s="8" customFormat="1" ht="20" customHeight="1" spans="1:14">
      <c r="A28" s="21">
        <v>24</v>
      </c>
      <c r="B28" s="21" t="s">
        <v>1246</v>
      </c>
      <c r="C28" s="21" t="s">
        <v>1247</v>
      </c>
      <c r="D28" s="21">
        <v>88.82</v>
      </c>
      <c r="E28" s="21">
        <v>78.2</v>
      </c>
      <c r="F28" s="21"/>
      <c r="G28" s="21"/>
      <c r="H28" s="21">
        <f t="shared" si="0"/>
        <v>81.386</v>
      </c>
      <c r="I28" s="21"/>
      <c r="J28" s="21"/>
      <c r="K28" s="21"/>
      <c r="L28" s="21"/>
      <c r="M28" s="21"/>
      <c r="N28" s="21"/>
    </row>
    <row r="29" s="8" customFormat="1" ht="20" customHeight="1" spans="1:14">
      <c r="A29" s="21">
        <v>25</v>
      </c>
      <c r="B29" s="14" t="s">
        <v>1248</v>
      </c>
      <c r="C29" s="14" t="s">
        <v>1249</v>
      </c>
      <c r="D29" s="14">
        <v>91.25</v>
      </c>
      <c r="E29" s="14">
        <v>75.6</v>
      </c>
      <c r="F29" s="14">
        <v>1</v>
      </c>
      <c r="G29" s="14"/>
      <c r="H29" s="14">
        <f t="shared" si="0"/>
        <v>81.295</v>
      </c>
      <c r="I29" s="14"/>
      <c r="J29" s="14"/>
      <c r="K29" s="14"/>
      <c r="L29" s="14"/>
      <c r="M29" s="14"/>
      <c r="N29" s="14"/>
    </row>
    <row r="30" s="8" customFormat="1" ht="20" customHeight="1" spans="1:14">
      <c r="A30" s="21">
        <v>26</v>
      </c>
      <c r="B30" s="14" t="s">
        <v>1250</v>
      </c>
      <c r="C30" s="14" t="s">
        <v>1251</v>
      </c>
      <c r="D30" s="14">
        <v>90.5</v>
      </c>
      <c r="E30" s="14">
        <v>75.53</v>
      </c>
      <c r="F30" s="14">
        <v>1</v>
      </c>
      <c r="G30" s="14"/>
      <c r="H30" s="14">
        <f t="shared" si="0"/>
        <v>81.021</v>
      </c>
      <c r="I30" s="14"/>
      <c r="J30" s="14"/>
      <c r="K30" s="14"/>
      <c r="L30" s="14"/>
      <c r="M30" s="14"/>
      <c r="N30" s="14"/>
    </row>
    <row r="31" s="8" customFormat="1" ht="20" customHeight="1" spans="1:14">
      <c r="A31" s="21">
        <v>27</v>
      </c>
      <c r="B31" s="14" t="s">
        <v>1252</v>
      </c>
      <c r="C31" s="14" t="s">
        <v>1253</v>
      </c>
      <c r="D31" s="14">
        <v>90.81</v>
      </c>
      <c r="E31" s="14">
        <v>73.93</v>
      </c>
      <c r="F31" s="14">
        <v>2</v>
      </c>
      <c r="G31" s="14"/>
      <c r="H31" s="14">
        <f t="shared" si="0"/>
        <v>80.994</v>
      </c>
      <c r="I31" s="14"/>
      <c r="J31" s="14"/>
      <c r="K31" s="14"/>
      <c r="L31" s="14"/>
      <c r="M31" s="14"/>
      <c r="N31" s="14"/>
    </row>
    <row r="32" s="8" customFormat="1" ht="20" customHeight="1" spans="1:14">
      <c r="A32" s="21">
        <v>28</v>
      </c>
      <c r="B32" s="14" t="s">
        <v>1254</v>
      </c>
      <c r="C32" s="14" t="s">
        <v>1255</v>
      </c>
      <c r="D32" s="14">
        <v>89.37</v>
      </c>
      <c r="E32" s="14">
        <v>77.13</v>
      </c>
      <c r="F32" s="14"/>
      <c r="G32" s="14"/>
      <c r="H32" s="14">
        <f t="shared" si="0"/>
        <v>80.802</v>
      </c>
      <c r="I32" s="14"/>
      <c r="J32" s="14"/>
      <c r="K32" s="14"/>
      <c r="L32" s="14"/>
      <c r="M32" s="14"/>
      <c r="N32" s="14"/>
    </row>
    <row r="33" s="8" customFormat="1" ht="20" customHeight="1" spans="1:14">
      <c r="A33" s="21">
        <v>29</v>
      </c>
      <c r="B33" s="14" t="s">
        <v>1256</v>
      </c>
      <c r="C33" s="14" t="s">
        <v>1257</v>
      </c>
      <c r="D33" s="14">
        <v>88.58</v>
      </c>
      <c r="E33" s="14">
        <v>75.73</v>
      </c>
      <c r="F33" s="14">
        <v>1</v>
      </c>
      <c r="G33" s="14"/>
      <c r="H33" s="14">
        <f t="shared" si="0"/>
        <v>80.585</v>
      </c>
      <c r="I33" s="14"/>
      <c r="J33" s="14"/>
      <c r="K33" s="14"/>
      <c r="L33" s="14"/>
      <c r="M33" s="14"/>
      <c r="N33" s="14"/>
    </row>
    <row r="34" s="8" customFormat="1" ht="20" customHeight="1" spans="1:14">
      <c r="A34" s="21">
        <v>30</v>
      </c>
      <c r="B34" s="14" t="s">
        <v>1258</v>
      </c>
      <c r="C34" s="14" t="s">
        <v>1259</v>
      </c>
      <c r="D34" s="14">
        <v>89.05</v>
      </c>
      <c r="E34" s="14">
        <v>75.2</v>
      </c>
      <c r="F34" s="14"/>
      <c r="G34" s="14"/>
      <c r="H34" s="14">
        <f t="shared" si="0"/>
        <v>79.355</v>
      </c>
      <c r="I34" s="14"/>
      <c r="J34" s="14"/>
      <c r="K34" s="14"/>
      <c r="L34" s="14"/>
      <c r="M34" s="14"/>
      <c r="N34" s="14"/>
    </row>
    <row r="35" s="8" customFormat="1" ht="20" customHeight="1" spans="1:14">
      <c r="A35" s="21">
        <v>31</v>
      </c>
      <c r="B35" s="21" t="s">
        <v>1260</v>
      </c>
      <c r="C35" s="21" t="s">
        <v>1261</v>
      </c>
      <c r="D35" s="21">
        <v>90.25</v>
      </c>
      <c r="E35" s="21">
        <v>74.67</v>
      </c>
      <c r="F35" s="21"/>
      <c r="G35" s="21"/>
      <c r="H35" s="21">
        <f t="shared" si="0"/>
        <v>79.344</v>
      </c>
      <c r="I35" s="21"/>
      <c r="J35" s="21"/>
      <c r="K35" s="21"/>
      <c r="L35" s="21"/>
      <c r="M35" s="21"/>
      <c r="N35" s="21"/>
    </row>
    <row r="36" s="8" customFormat="1" ht="20" customHeight="1" spans="1:14">
      <c r="A36" s="21">
        <v>32</v>
      </c>
      <c r="B36" s="14" t="s">
        <v>1262</v>
      </c>
      <c r="C36" s="14" t="s">
        <v>1263</v>
      </c>
      <c r="D36" s="14">
        <v>90.08</v>
      </c>
      <c r="E36" s="14">
        <v>74.47</v>
      </c>
      <c r="F36" s="14"/>
      <c r="G36" s="14"/>
      <c r="H36" s="14">
        <f t="shared" si="0"/>
        <v>79.153</v>
      </c>
      <c r="I36" s="14"/>
      <c r="J36" s="14"/>
      <c r="K36" s="14"/>
      <c r="L36" s="14"/>
      <c r="M36" s="14"/>
      <c r="N36" s="14"/>
    </row>
    <row r="37" s="8" customFormat="1" ht="20" customHeight="1" spans="1:14">
      <c r="A37" s="21">
        <v>33</v>
      </c>
      <c r="B37" s="14" t="s">
        <v>1264</v>
      </c>
      <c r="C37" s="14" t="s">
        <v>1265</v>
      </c>
      <c r="D37" s="14">
        <v>89.1</v>
      </c>
      <c r="E37" s="14">
        <v>74.73</v>
      </c>
      <c r="F37" s="14"/>
      <c r="G37" s="14"/>
      <c r="H37" s="14">
        <f t="shared" si="0"/>
        <v>79.041</v>
      </c>
      <c r="I37" s="14"/>
      <c r="J37" s="14"/>
      <c r="K37" s="14"/>
      <c r="L37" s="14"/>
      <c r="M37" s="14"/>
      <c r="N37" s="14"/>
    </row>
    <row r="38" s="8" customFormat="1" ht="20" customHeight="1" spans="1:14">
      <c r="A38" s="21">
        <v>34</v>
      </c>
      <c r="B38" s="14" t="s">
        <v>1266</v>
      </c>
      <c r="C38" s="14" t="s">
        <v>1267</v>
      </c>
      <c r="D38" s="14">
        <v>86.93</v>
      </c>
      <c r="E38" s="14">
        <v>75</v>
      </c>
      <c r="F38" s="14"/>
      <c r="G38" s="14"/>
      <c r="H38" s="14">
        <f t="shared" si="0"/>
        <v>78.579</v>
      </c>
      <c r="I38" s="14"/>
      <c r="J38" s="14"/>
      <c r="K38" s="14"/>
      <c r="L38" s="14"/>
      <c r="M38" s="14"/>
      <c r="N38" s="14"/>
    </row>
    <row r="39" s="8" customFormat="1" ht="20" customHeight="1" spans="1:14">
      <c r="A39" s="21">
        <v>35</v>
      </c>
      <c r="B39" s="14" t="s">
        <v>1268</v>
      </c>
      <c r="C39" s="14" t="s">
        <v>1269</v>
      </c>
      <c r="D39" s="14">
        <v>88.9</v>
      </c>
      <c r="E39" s="14">
        <v>74.13</v>
      </c>
      <c r="F39" s="14"/>
      <c r="G39" s="14"/>
      <c r="H39" s="14">
        <f t="shared" si="0"/>
        <v>78.561</v>
      </c>
      <c r="I39" s="14"/>
      <c r="J39" s="14"/>
      <c r="K39" s="14"/>
      <c r="L39" s="14"/>
      <c r="M39" s="14"/>
      <c r="N39" s="14"/>
    </row>
    <row r="40" s="8" customFormat="1" ht="20" customHeight="1" spans="1:14">
      <c r="A40" s="21">
        <v>36</v>
      </c>
      <c r="B40" s="14" t="s">
        <v>1270</v>
      </c>
      <c r="C40" s="14" t="s">
        <v>1271</v>
      </c>
      <c r="D40" s="14">
        <v>89.2</v>
      </c>
      <c r="E40" s="14">
        <v>73.8</v>
      </c>
      <c r="F40" s="14"/>
      <c r="G40" s="14"/>
      <c r="H40" s="14">
        <f t="shared" si="0"/>
        <v>78.42</v>
      </c>
      <c r="I40" s="14"/>
      <c r="J40" s="14"/>
      <c r="K40" s="14"/>
      <c r="L40" s="14"/>
      <c r="M40" s="14"/>
      <c r="N40" s="14"/>
    </row>
    <row r="41" s="8" customFormat="1" ht="20" customHeight="1" spans="1:14">
      <c r="A41" s="21">
        <v>37</v>
      </c>
      <c r="B41" s="14" t="s">
        <v>1272</v>
      </c>
      <c r="C41" s="14" t="s">
        <v>1273</v>
      </c>
      <c r="D41" s="14">
        <v>89.73</v>
      </c>
      <c r="E41" s="14">
        <v>73.27</v>
      </c>
      <c r="F41" s="14"/>
      <c r="G41" s="14"/>
      <c r="H41" s="14">
        <f t="shared" si="0"/>
        <v>78.208</v>
      </c>
      <c r="I41" s="14"/>
      <c r="J41" s="14"/>
      <c r="K41" s="14"/>
      <c r="L41" s="14"/>
      <c r="M41" s="14"/>
      <c r="N41" s="14"/>
    </row>
    <row r="42" s="8" customFormat="1" ht="20" customHeight="1" spans="1:14">
      <c r="A42" s="21">
        <v>38</v>
      </c>
      <c r="B42" s="21" t="s">
        <v>1274</v>
      </c>
      <c r="C42" s="21" t="s">
        <v>1275</v>
      </c>
      <c r="D42" s="21">
        <v>89.92</v>
      </c>
      <c r="E42" s="21">
        <v>72.93</v>
      </c>
      <c r="F42" s="21"/>
      <c r="G42" s="21"/>
      <c r="H42" s="21">
        <f t="shared" si="0"/>
        <v>78.027</v>
      </c>
      <c r="I42" s="21"/>
      <c r="J42" s="21"/>
      <c r="K42" s="21"/>
      <c r="L42" s="21"/>
      <c r="M42" s="21"/>
      <c r="N42" s="21"/>
    </row>
    <row r="43" s="8" customFormat="1" ht="20" customHeight="1" spans="1:14">
      <c r="A43" s="21">
        <v>39</v>
      </c>
      <c r="B43" s="14" t="s">
        <v>1276</v>
      </c>
      <c r="C43" s="14" t="s">
        <v>1277</v>
      </c>
      <c r="D43" s="14">
        <v>89.22</v>
      </c>
      <c r="E43" s="14">
        <v>70.87</v>
      </c>
      <c r="F43" s="14">
        <v>1</v>
      </c>
      <c r="G43" s="14"/>
      <c r="H43" s="14">
        <f t="shared" si="0"/>
        <v>77.375</v>
      </c>
      <c r="I43" s="14"/>
      <c r="J43" s="14"/>
      <c r="K43" s="14"/>
      <c r="L43" s="14"/>
      <c r="M43" s="14"/>
      <c r="N43" s="14"/>
    </row>
    <row r="44" s="8" customFormat="1" ht="20" customHeight="1" spans="1:14">
      <c r="A44" s="21">
        <v>40</v>
      </c>
      <c r="B44" s="14" t="s">
        <v>1278</v>
      </c>
      <c r="C44" s="14" t="s">
        <v>1279</v>
      </c>
      <c r="D44" s="14">
        <v>88.91</v>
      </c>
      <c r="E44" s="14">
        <v>71.73</v>
      </c>
      <c r="F44" s="14"/>
      <c r="G44" s="14"/>
      <c r="H44" s="14">
        <f t="shared" si="0"/>
        <v>76.884</v>
      </c>
      <c r="I44" s="14"/>
      <c r="J44" s="14"/>
      <c r="K44" s="14"/>
      <c r="L44" s="14"/>
      <c r="M44" s="14"/>
      <c r="N44" s="14"/>
    </row>
    <row r="45" s="8" customFormat="1" ht="20" customHeight="1" spans="1:14">
      <c r="A45" s="21">
        <v>41</v>
      </c>
      <c r="B45" s="14" t="s">
        <v>1280</v>
      </c>
      <c r="C45" s="14" t="s">
        <v>1281</v>
      </c>
      <c r="D45" s="14">
        <v>84.59</v>
      </c>
      <c r="E45" s="14">
        <v>71.2</v>
      </c>
      <c r="F45" s="14"/>
      <c r="G45" s="14"/>
      <c r="H45" s="14">
        <f t="shared" si="0"/>
        <v>75.217</v>
      </c>
      <c r="I45" s="14"/>
      <c r="J45" s="14"/>
      <c r="K45" s="14"/>
      <c r="L45" s="14"/>
      <c r="M45" s="14"/>
      <c r="N45" s="14"/>
    </row>
    <row r="46" spans="1:15">
      <c r="A46" s="19" t="s">
        <v>119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</row>
  </sheetData>
  <mergeCells count="4">
    <mergeCell ref="A1:N1"/>
    <mergeCell ref="A2:N2"/>
    <mergeCell ref="A3:N3"/>
    <mergeCell ref="A46:O46"/>
  </mergeCells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workbookViewId="0">
      <selection activeCell="N5" sqref="N5"/>
    </sheetView>
  </sheetViews>
  <sheetFormatPr defaultColWidth="8.75" defaultRowHeight="16.8"/>
  <cols>
    <col min="2" max="2" width="16.5096153846154" customWidth="1"/>
    <col min="3" max="3" width="12.0192307692308" customWidth="1"/>
    <col min="4" max="4" width="12.6538461538462" customWidth="1"/>
    <col min="5" max="5" width="12.9711538461538" customWidth="1"/>
    <col min="6" max="6" width="13.7788461538462" customWidth="1"/>
    <col min="7" max="7" width="10.7307692307692" customWidth="1"/>
    <col min="8" max="8" width="17.7884615384615" customWidth="1"/>
  </cols>
  <sheetData>
    <row r="1" ht="25" customHeight="1" spans="1:14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ht="40" customHeight="1" spans="1:14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ht="32" customHeight="1" spans="1:14">
      <c r="A3" s="27" t="s">
        <v>1282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ht="53" spans="1:14">
      <c r="A4" s="28" t="s">
        <v>3</v>
      </c>
      <c r="B4" s="28" t="s">
        <v>4</v>
      </c>
      <c r="C4" s="28" t="s">
        <v>5</v>
      </c>
      <c r="D4" s="28" t="s">
        <v>6</v>
      </c>
      <c r="E4" s="28" t="s">
        <v>7</v>
      </c>
      <c r="F4" s="28" t="s">
        <v>9</v>
      </c>
      <c r="G4" s="28" t="s">
        <v>10</v>
      </c>
      <c r="H4" s="28" t="s">
        <v>753</v>
      </c>
      <c r="I4" s="28" t="s">
        <v>12</v>
      </c>
      <c r="J4" s="28" t="s">
        <v>13</v>
      </c>
      <c r="K4" s="28" t="s">
        <v>14</v>
      </c>
      <c r="L4" s="28" t="s">
        <v>15</v>
      </c>
      <c r="M4" s="28" t="s">
        <v>16</v>
      </c>
      <c r="N4" s="28" t="s">
        <v>17</v>
      </c>
    </row>
    <row r="5" s="8" customFormat="1" ht="20" customHeight="1" spans="1:14">
      <c r="A5" s="13">
        <v>1</v>
      </c>
      <c r="B5" s="13" t="s">
        <v>1283</v>
      </c>
      <c r="C5" s="13" t="s">
        <v>1284</v>
      </c>
      <c r="D5" s="13">
        <v>100</v>
      </c>
      <c r="E5" s="13" t="s">
        <v>1285</v>
      </c>
      <c r="F5" s="13">
        <v>6</v>
      </c>
      <c r="G5" s="13"/>
      <c r="H5" s="13">
        <f t="shared" ref="H5:H47" si="0">D5*0.3+E5*0.7+F5-G5</f>
        <v>94.709</v>
      </c>
      <c r="I5" s="13"/>
      <c r="J5" s="13"/>
      <c r="K5" s="13"/>
      <c r="L5" s="13"/>
      <c r="M5" s="13"/>
      <c r="N5" s="13" t="s">
        <v>21</v>
      </c>
    </row>
    <row r="6" s="8" customFormat="1" ht="20" customHeight="1" spans="1:14">
      <c r="A6" s="13">
        <v>2</v>
      </c>
      <c r="B6" s="13" t="s">
        <v>1286</v>
      </c>
      <c r="C6" s="13" t="s">
        <v>1287</v>
      </c>
      <c r="D6" s="13">
        <v>100</v>
      </c>
      <c r="E6" s="13" t="s">
        <v>139</v>
      </c>
      <c r="F6" s="13">
        <v>3.5</v>
      </c>
      <c r="G6" s="13"/>
      <c r="H6" s="13">
        <f t="shared" si="0"/>
        <v>94.589</v>
      </c>
      <c r="I6" s="13"/>
      <c r="J6" s="13"/>
      <c r="K6" s="13"/>
      <c r="L6" s="13" t="s">
        <v>21</v>
      </c>
      <c r="M6" s="13" t="s">
        <v>21</v>
      </c>
      <c r="N6" s="13"/>
    </row>
    <row r="7" s="8" customFormat="1" ht="20" customHeight="1" spans="1:14">
      <c r="A7" s="13">
        <v>3</v>
      </c>
      <c r="B7" s="13" t="s">
        <v>1288</v>
      </c>
      <c r="C7" s="13" t="s">
        <v>1289</v>
      </c>
      <c r="D7" s="13">
        <v>100</v>
      </c>
      <c r="E7" s="13" t="s">
        <v>1290</v>
      </c>
      <c r="F7" s="13">
        <v>3.5</v>
      </c>
      <c r="G7" s="13"/>
      <c r="H7" s="13">
        <f t="shared" si="0"/>
        <v>93.84</v>
      </c>
      <c r="I7" s="13"/>
      <c r="J7" s="13"/>
      <c r="K7" s="13"/>
      <c r="L7" s="13"/>
      <c r="M7" s="13"/>
      <c r="N7" s="13" t="s">
        <v>21</v>
      </c>
    </row>
    <row r="8" s="8" customFormat="1" ht="20" customHeight="1" spans="1:14">
      <c r="A8" s="13">
        <v>4</v>
      </c>
      <c r="B8" s="13" t="s">
        <v>1291</v>
      </c>
      <c r="C8" s="13" t="s">
        <v>1292</v>
      </c>
      <c r="D8" s="13">
        <v>100</v>
      </c>
      <c r="E8" s="13" t="s">
        <v>1293</v>
      </c>
      <c r="F8" s="13">
        <v>4</v>
      </c>
      <c r="G8" s="13"/>
      <c r="H8" s="13">
        <f t="shared" si="0"/>
        <v>93.78</v>
      </c>
      <c r="I8" s="13"/>
      <c r="J8" s="13"/>
      <c r="K8" s="13"/>
      <c r="L8" s="13"/>
      <c r="M8" s="13"/>
      <c r="N8" s="13" t="s">
        <v>21</v>
      </c>
    </row>
    <row r="9" s="8" customFormat="1" ht="20" customHeight="1" spans="1:14">
      <c r="A9" s="13">
        <v>5</v>
      </c>
      <c r="B9" s="13" t="s">
        <v>1294</v>
      </c>
      <c r="C9" s="13" t="s">
        <v>1295</v>
      </c>
      <c r="D9" s="13">
        <v>100</v>
      </c>
      <c r="E9" s="13" t="s">
        <v>1296</v>
      </c>
      <c r="F9" s="13">
        <v>2.5</v>
      </c>
      <c r="G9" s="13"/>
      <c r="H9" s="13">
        <f t="shared" si="0"/>
        <v>93.309</v>
      </c>
      <c r="I9" s="13"/>
      <c r="J9" s="13"/>
      <c r="K9" s="13"/>
      <c r="L9" s="13"/>
      <c r="M9" s="13" t="s">
        <v>21</v>
      </c>
      <c r="N9" s="13"/>
    </row>
    <row r="10" s="8" customFormat="1" ht="20" customHeight="1" spans="1:14">
      <c r="A10" s="13">
        <v>6</v>
      </c>
      <c r="B10" s="13" t="s">
        <v>1297</v>
      </c>
      <c r="C10" s="13" t="s">
        <v>1298</v>
      </c>
      <c r="D10" s="13">
        <v>99</v>
      </c>
      <c r="E10" s="13" t="s">
        <v>1299</v>
      </c>
      <c r="F10" s="13">
        <v>6</v>
      </c>
      <c r="G10" s="13"/>
      <c r="H10" s="13">
        <f t="shared" si="0"/>
        <v>93.051</v>
      </c>
      <c r="I10" s="13"/>
      <c r="J10" s="13"/>
      <c r="K10" s="13"/>
      <c r="L10" s="13"/>
      <c r="M10" s="13"/>
      <c r="N10" s="13"/>
    </row>
    <row r="11" s="8" customFormat="1" ht="20" customHeight="1" spans="1:14">
      <c r="A11" s="13">
        <v>7</v>
      </c>
      <c r="B11" s="13" t="s">
        <v>1300</v>
      </c>
      <c r="C11" s="13" t="s">
        <v>1301</v>
      </c>
      <c r="D11" s="13">
        <v>99</v>
      </c>
      <c r="E11" s="13" t="s">
        <v>1302</v>
      </c>
      <c r="F11" s="13">
        <v>4</v>
      </c>
      <c r="G11" s="13"/>
      <c r="H11" s="13">
        <f t="shared" si="0"/>
        <v>90.491</v>
      </c>
      <c r="I11" s="13"/>
      <c r="J11" s="13"/>
      <c r="K11" s="13"/>
      <c r="L11" s="13"/>
      <c r="M11" s="13"/>
      <c r="N11" s="13"/>
    </row>
    <row r="12" s="8" customFormat="1" ht="20" customHeight="1" spans="1:14">
      <c r="A12" s="13">
        <v>8</v>
      </c>
      <c r="B12" s="13" t="s">
        <v>1303</v>
      </c>
      <c r="C12" s="13" t="s">
        <v>1304</v>
      </c>
      <c r="D12" s="13">
        <v>100</v>
      </c>
      <c r="E12" s="13" t="s">
        <v>1305</v>
      </c>
      <c r="F12" s="13"/>
      <c r="G12" s="13"/>
      <c r="H12" s="13">
        <f t="shared" si="0"/>
        <v>90.011</v>
      </c>
      <c r="I12" s="13"/>
      <c r="J12" s="13"/>
      <c r="K12" s="13"/>
      <c r="L12" s="13"/>
      <c r="M12" s="13" t="s">
        <v>21</v>
      </c>
      <c r="N12" s="13"/>
    </row>
    <row r="13" s="8" customFormat="1" ht="20" customHeight="1" spans="1:14">
      <c r="A13" s="13">
        <v>9</v>
      </c>
      <c r="B13" s="13" t="s">
        <v>1306</v>
      </c>
      <c r="C13" s="13" t="s">
        <v>1307</v>
      </c>
      <c r="D13" s="13">
        <v>100</v>
      </c>
      <c r="E13" s="13" t="s">
        <v>1308</v>
      </c>
      <c r="F13" s="13"/>
      <c r="G13" s="13"/>
      <c r="H13" s="13">
        <f t="shared" si="0"/>
        <v>89.5</v>
      </c>
      <c r="I13" s="13"/>
      <c r="J13" s="13"/>
      <c r="K13" s="13"/>
      <c r="L13" s="13"/>
      <c r="M13" s="13" t="s">
        <v>21</v>
      </c>
      <c r="N13" s="13"/>
    </row>
    <row r="14" s="8" customFormat="1" ht="20" customHeight="1" spans="1:14">
      <c r="A14" s="13">
        <v>10</v>
      </c>
      <c r="B14" s="13" t="s">
        <v>1309</v>
      </c>
      <c r="C14" s="13" t="s">
        <v>1310</v>
      </c>
      <c r="D14" s="13">
        <v>99</v>
      </c>
      <c r="E14" s="13" t="s">
        <v>1311</v>
      </c>
      <c r="F14" s="13">
        <v>2</v>
      </c>
      <c r="G14" s="13"/>
      <c r="H14" s="13">
        <f t="shared" si="0"/>
        <v>88.029</v>
      </c>
      <c r="I14" s="13"/>
      <c r="J14" s="13"/>
      <c r="K14" s="13"/>
      <c r="L14" s="13"/>
      <c r="M14" s="13"/>
      <c r="N14" s="13" t="s">
        <v>21</v>
      </c>
    </row>
    <row r="15" s="8" customFormat="1" ht="20" customHeight="1" spans="1:14">
      <c r="A15" s="13">
        <v>11</v>
      </c>
      <c r="B15" s="13" t="s">
        <v>1312</v>
      </c>
      <c r="C15" s="13" t="s">
        <v>1313</v>
      </c>
      <c r="D15" s="13">
        <v>100</v>
      </c>
      <c r="E15" s="13" t="s">
        <v>190</v>
      </c>
      <c r="F15" s="13"/>
      <c r="G15" s="13"/>
      <c r="H15" s="13">
        <f t="shared" si="0"/>
        <v>87.911</v>
      </c>
      <c r="I15" s="13"/>
      <c r="J15" s="13"/>
      <c r="K15" s="13"/>
      <c r="L15" s="13"/>
      <c r="M15" s="13" t="s">
        <v>21</v>
      </c>
      <c r="N15" s="13"/>
    </row>
    <row r="16" s="8" customFormat="1" ht="20" customHeight="1" spans="1:14">
      <c r="A16" s="13">
        <v>12</v>
      </c>
      <c r="B16" s="13" t="s">
        <v>1314</v>
      </c>
      <c r="C16" s="13" t="s">
        <v>1315</v>
      </c>
      <c r="D16" s="13">
        <v>98</v>
      </c>
      <c r="E16" s="13" t="s">
        <v>1316</v>
      </c>
      <c r="F16" s="13"/>
      <c r="G16" s="13"/>
      <c r="H16" s="13">
        <f t="shared" si="0"/>
        <v>86.94</v>
      </c>
      <c r="I16" s="13"/>
      <c r="J16" s="13"/>
      <c r="K16" s="13"/>
      <c r="L16" s="13"/>
      <c r="M16" s="13" t="s">
        <v>21</v>
      </c>
      <c r="N16" s="13"/>
    </row>
    <row r="17" s="8" customFormat="1" ht="20" customHeight="1" spans="1:14">
      <c r="A17" s="13">
        <v>13</v>
      </c>
      <c r="B17" s="13" t="s">
        <v>1317</v>
      </c>
      <c r="C17" s="13" t="s">
        <v>1318</v>
      </c>
      <c r="D17" s="13">
        <v>99</v>
      </c>
      <c r="E17" s="13" t="s">
        <v>1319</v>
      </c>
      <c r="F17" s="13"/>
      <c r="G17" s="13"/>
      <c r="H17" s="13">
        <f t="shared" si="0"/>
        <v>86.54</v>
      </c>
      <c r="I17" s="13"/>
      <c r="J17" s="13"/>
      <c r="K17" s="13"/>
      <c r="L17" s="13"/>
      <c r="M17" s="13"/>
      <c r="N17" s="13"/>
    </row>
    <row r="18" s="8" customFormat="1" ht="20" customHeight="1" spans="1:14">
      <c r="A18" s="13">
        <v>14</v>
      </c>
      <c r="B18" s="13" t="s">
        <v>1320</v>
      </c>
      <c r="C18" s="13" t="s">
        <v>1321</v>
      </c>
      <c r="D18" s="13">
        <v>98</v>
      </c>
      <c r="E18" s="13" t="s">
        <v>1322</v>
      </c>
      <c r="F18" s="13">
        <v>1</v>
      </c>
      <c r="G18" s="13"/>
      <c r="H18" s="13">
        <f t="shared" si="0"/>
        <v>85.931</v>
      </c>
      <c r="I18" s="13"/>
      <c r="J18" s="13"/>
      <c r="K18" s="13"/>
      <c r="L18" s="13"/>
      <c r="M18" s="13"/>
      <c r="N18" s="13"/>
    </row>
    <row r="19" s="8" customFormat="1" ht="20" customHeight="1" spans="1:14">
      <c r="A19" s="13">
        <v>15</v>
      </c>
      <c r="B19" s="13" t="s">
        <v>1323</v>
      </c>
      <c r="C19" s="13" t="s">
        <v>1324</v>
      </c>
      <c r="D19" s="13">
        <v>98</v>
      </c>
      <c r="E19" s="13" t="s">
        <v>1325</v>
      </c>
      <c r="F19" s="13">
        <v>2</v>
      </c>
      <c r="G19" s="13"/>
      <c r="H19" s="13">
        <f t="shared" si="0"/>
        <v>85.909</v>
      </c>
      <c r="I19" s="13"/>
      <c r="J19" s="13"/>
      <c r="K19" s="13"/>
      <c r="L19" s="13"/>
      <c r="M19" s="13"/>
      <c r="N19" s="13"/>
    </row>
    <row r="20" s="8" customFormat="1" ht="20" customHeight="1" spans="1:14">
      <c r="A20" s="13">
        <v>16</v>
      </c>
      <c r="B20" s="13" t="s">
        <v>1326</v>
      </c>
      <c r="C20" s="13" t="s">
        <v>1327</v>
      </c>
      <c r="D20" s="13">
        <v>98</v>
      </c>
      <c r="E20" s="13" t="s">
        <v>1328</v>
      </c>
      <c r="F20" s="13"/>
      <c r="G20" s="13"/>
      <c r="H20" s="13">
        <f t="shared" si="0"/>
        <v>85.82</v>
      </c>
      <c r="I20" s="13"/>
      <c r="J20" s="13"/>
      <c r="K20" s="13"/>
      <c r="L20" s="13"/>
      <c r="M20" s="13"/>
      <c r="N20" s="13"/>
    </row>
    <row r="21" s="8" customFormat="1" ht="20" customHeight="1" spans="1:14">
      <c r="A21" s="13">
        <v>17</v>
      </c>
      <c r="B21" s="13" t="s">
        <v>1329</v>
      </c>
      <c r="C21" s="13" t="s">
        <v>1330</v>
      </c>
      <c r="D21" s="13">
        <v>98</v>
      </c>
      <c r="E21" s="13" t="s">
        <v>1331</v>
      </c>
      <c r="F21" s="13"/>
      <c r="G21" s="13"/>
      <c r="H21" s="13">
        <f t="shared" si="0"/>
        <v>85.631</v>
      </c>
      <c r="I21" s="13"/>
      <c r="J21" s="13"/>
      <c r="K21" s="13"/>
      <c r="L21" s="13"/>
      <c r="M21" s="13"/>
      <c r="N21" s="13"/>
    </row>
    <row r="22" s="8" customFormat="1" ht="20" customHeight="1" spans="1:14">
      <c r="A22" s="14">
        <v>18</v>
      </c>
      <c r="B22" s="14" t="s">
        <v>1332</v>
      </c>
      <c r="C22" s="14" t="s">
        <v>1333</v>
      </c>
      <c r="D22" s="14">
        <v>98</v>
      </c>
      <c r="E22" s="14" t="s">
        <v>247</v>
      </c>
      <c r="F22" s="14"/>
      <c r="G22" s="14"/>
      <c r="H22" s="14">
        <f t="shared" si="0"/>
        <v>85.589</v>
      </c>
      <c r="I22" s="14"/>
      <c r="J22" s="14"/>
      <c r="K22" s="14"/>
      <c r="L22" s="14"/>
      <c r="M22" s="14"/>
      <c r="N22" s="14"/>
    </row>
    <row r="23" s="8" customFormat="1" ht="20" customHeight="1" spans="1:14">
      <c r="A23" s="14">
        <v>19</v>
      </c>
      <c r="B23" s="14" t="s">
        <v>1334</v>
      </c>
      <c r="C23" s="14" t="s">
        <v>1335</v>
      </c>
      <c r="D23" s="14">
        <v>98</v>
      </c>
      <c r="E23" s="14" t="s">
        <v>937</v>
      </c>
      <c r="F23" s="14"/>
      <c r="G23" s="14"/>
      <c r="H23" s="14">
        <f t="shared" si="0"/>
        <v>85.029</v>
      </c>
      <c r="I23" s="14"/>
      <c r="J23" s="14"/>
      <c r="K23" s="14"/>
      <c r="L23" s="14"/>
      <c r="M23" s="14"/>
      <c r="N23" s="14"/>
    </row>
    <row r="24" s="8" customFormat="1" ht="20" customHeight="1" spans="1:14">
      <c r="A24" s="14">
        <v>20</v>
      </c>
      <c r="B24" s="14" t="s">
        <v>1336</v>
      </c>
      <c r="C24" s="14" t="s">
        <v>1337</v>
      </c>
      <c r="D24" s="14">
        <v>98</v>
      </c>
      <c r="E24" s="14" t="s">
        <v>1338</v>
      </c>
      <c r="F24" s="14"/>
      <c r="G24" s="14"/>
      <c r="H24" s="14">
        <f t="shared" si="0"/>
        <v>84.28</v>
      </c>
      <c r="I24" s="14"/>
      <c r="J24" s="14"/>
      <c r="K24" s="14"/>
      <c r="L24" s="14"/>
      <c r="M24" s="14"/>
      <c r="N24" s="14"/>
    </row>
    <row r="25" s="8" customFormat="1" ht="20" customHeight="1" spans="1:14">
      <c r="A25" s="14">
        <v>21</v>
      </c>
      <c r="B25" s="14" t="s">
        <v>1339</v>
      </c>
      <c r="C25" s="14" t="s">
        <v>1340</v>
      </c>
      <c r="D25" s="14">
        <v>98</v>
      </c>
      <c r="E25" s="14" t="s">
        <v>604</v>
      </c>
      <c r="F25" s="14"/>
      <c r="G25" s="14"/>
      <c r="H25" s="14">
        <f t="shared" si="0"/>
        <v>84.231</v>
      </c>
      <c r="I25" s="14"/>
      <c r="J25" s="14"/>
      <c r="K25" s="14"/>
      <c r="L25" s="14"/>
      <c r="M25" s="14"/>
      <c r="N25" s="14"/>
    </row>
    <row r="26" s="8" customFormat="1" ht="20" customHeight="1" spans="1:14">
      <c r="A26" s="14">
        <v>22</v>
      </c>
      <c r="B26" s="14" t="s">
        <v>1341</v>
      </c>
      <c r="C26" s="14" t="s">
        <v>1342</v>
      </c>
      <c r="D26" s="14">
        <v>99</v>
      </c>
      <c r="E26" s="14" t="s">
        <v>1343</v>
      </c>
      <c r="F26" s="14"/>
      <c r="G26" s="14"/>
      <c r="H26" s="14">
        <f t="shared" si="0"/>
        <v>84.111</v>
      </c>
      <c r="I26" s="14"/>
      <c r="J26" s="14"/>
      <c r="K26" s="14"/>
      <c r="L26" s="14"/>
      <c r="M26" s="14"/>
      <c r="N26" s="14"/>
    </row>
    <row r="27" s="8" customFormat="1" ht="20" customHeight="1" spans="1:14">
      <c r="A27" s="14">
        <v>23</v>
      </c>
      <c r="B27" s="14" t="s">
        <v>1344</v>
      </c>
      <c r="C27" s="14" t="s">
        <v>1345</v>
      </c>
      <c r="D27" s="14">
        <v>99</v>
      </c>
      <c r="E27" s="14" t="s">
        <v>1343</v>
      </c>
      <c r="F27" s="14"/>
      <c r="G27" s="14"/>
      <c r="H27" s="14">
        <f t="shared" si="0"/>
        <v>84.111</v>
      </c>
      <c r="I27" s="14"/>
      <c r="J27" s="14"/>
      <c r="K27" s="14"/>
      <c r="L27" s="14"/>
      <c r="M27" s="14"/>
      <c r="N27" s="14"/>
    </row>
    <row r="28" s="8" customFormat="1" ht="20" customHeight="1" spans="1:14">
      <c r="A28" s="14">
        <v>24</v>
      </c>
      <c r="B28" s="14" t="s">
        <v>1346</v>
      </c>
      <c r="C28" s="14" t="s">
        <v>1347</v>
      </c>
      <c r="D28" s="14">
        <v>98</v>
      </c>
      <c r="E28" s="14" t="s">
        <v>1348</v>
      </c>
      <c r="F28" s="14"/>
      <c r="G28" s="14"/>
      <c r="H28" s="14">
        <f t="shared" si="0"/>
        <v>84.091</v>
      </c>
      <c r="I28" s="14"/>
      <c r="J28" s="14"/>
      <c r="K28" s="14"/>
      <c r="L28" s="14"/>
      <c r="M28" s="14"/>
      <c r="N28" s="14"/>
    </row>
    <row r="29" s="8" customFormat="1" ht="20" customHeight="1" spans="1:14">
      <c r="A29" s="14">
        <v>25</v>
      </c>
      <c r="B29" s="14" t="s">
        <v>1349</v>
      </c>
      <c r="C29" s="14" t="s">
        <v>1350</v>
      </c>
      <c r="D29" s="14">
        <v>99</v>
      </c>
      <c r="E29" s="14" t="s">
        <v>1351</v>
      </c>
      <c r="F29" s="14"/>
      <c r="G29" s="14"/>
      <c r="H29" s="14">
        <f t="shared" si="0"/>
        <v>83.929</v>
      </c>
      <c r="I29" s="14"/>
      <c r="J29" s="14"/>
      <c r="K29" s="14"/>
      <c r="L29" s="14"/>
      <c r="M29" s="14"/>
      <c r="N29" s="14"/>
    </row>
    <row r="30" s="8" customFormat="1" ht="20" customHeight="1" spans="1:14">
      <c r="A30" s="14">
        <v>26</v>
      </c>
      <c r="B30" s="14" t="s">
        <v>1352</v>
      </c>
      <c r="C30" s="14" t="s">
        <v>1353</v>
      </c>
      <c r="D30" s="14">
        <v>99</v>
      </c>
      <c r="E30" s="14" t="s">
        <v>174</v>
      </c>
      <c r="F30" s="14"/>
      <c r="G30" s="14"/>
      <c r="H30" s="14">
        <f t="shared" si="0"/>
        <v>83.411</v>
      </c>
      <c r="I30" s="14"/>
      <c r="J30" s="14"/>
      <c r="K30" s="14"/>
      <c r="L30" s="14"/>
      <c r="M30" s="14"/>
      <c r="N30" s="14"/>
    </row>
    <row r="31" s="8" customFormat="1" ht="20" customHeight="1" spans="1:14">
      <c r="A31" s="14">
        <v>27</v>
      </c>
      <c r="B31" s="14" t="s">
        <v>1354</v>
      </c>
      <c r="C31" s="14" t="s">
        <v>1355</v>
      </c>
      <c r="D31" s="14">
        <v>99</v>
      </c>
      <c r="E31" s="14" t="s">
        <v>1356</v>
      </c>
      <c r="F31" s="14"/>
      <c r="G31" s="14"/>
      <c r="H31" s="14">
        <f t="shared" si="0"/>
        <v>83.32</v>
      </c>
      <c r="I31" s="14"/>
      <c r="J31" s="14"/>
      <c r="K31" s="14"/>
      <c r="L31" s="14"/>
      <c r="M31" s="14"/>
      <c r="N31" s="14"/>
    </row>
    <row r="32" s="8" customFormat="1" ht="20" customHeight="1" spans="1:14">
      <c r="A32" s="14">
        <v>28</v>
      </c>
      <c r="B32" s="14" t="s">
        <v>1357</v>
      </c>
      <c r="C32" s="14" t="s">
        <v>1358</v>
      </c>
      <c r="D32" s="14">
        <v>98</v>
      </c>
      <c r="E32" s="14" t="s">
        <v>1359</v>
      </c>
      <c r="F32" s="14"/>
      <c r="G32" s="14"/>
      <c r="H32" s="14">
        <f t="shared" si="0"/>
        <v>83.16</v>
      </c>
      <c r="I32" s="14"/>
      <c r="J32" s="14"/>
      <c r="K32" s="14"/>
      <c r="L32" s="14"/>
      <c r="M32" s="14"/>
      <c r="N32" s="14"/>
    </row>
    <row r="33" s="8" customFormat="1" ht="20" customHeight="1" spans="1:14">
      <c r="A33" s="14">
        <v>29</v>
      </c>
      <c r="B33" s="14" t="s">
        <v>1360</v>
      </c>
      <c r="C33" s="14" t="s">
        <v>1361</v>
      </c>
      <c r="D33" s="14">
        <v>98</v>
      </c>
      <c r="E33" s="14" t="s">
        <v>1362</v>
      </c>
      <c r="F33" s="14"/>
      <c r="G33" s="14"/>
      <c r="H33" s="14">
        <f t="shared" si="0"/>
        <v>83.069</v>
      </c>
      <c r="I33" s="14"/>
      <c r="J33" s="14"/>
      <c r="K33" s="14"/>
      <c r="L33" s="14"/>
      <c r="M33" s="14"/>
      <c r="N33" s="14"/>
    </row>
    <row r="34" s="8" customFormat="1" ht="20" customHeight="1" spans="1:14">
      <c r="A34" s="14">
        <v>30</v>
      </c>
      <c r="B34" s="14" t="s">
        <v>1363</v>
      </c>
      <c r="C34" s="14" t="s">
        <v>1364</v>
      </c>
      <c r="D34" s="14">
        <v>98</v>
      </c>
      <c r="E34" s="14" t="s">
        <v>1099</v>
      </c>
      <c r="F34" s="14"/>
      <c r="G34" s="14"/>
      <c r="H34" s="14">
        <f t="shared" si="0"/>
        <v>82.271</v>
      </c>
      <c r="I34" s="14"/>
      <c r="J34" s="14"/>
      <c r="K34" s="14"/>
      <c r="L34" s="14"/>
      <c r="M34" s="14"/>
      <c r="N34" s="14"/>
    </row>
    <row r="35" s="8" customFormat="1" ht="20" customHeight="1" spans="1:14">
      <c r="A35" s="14">
        <v>31</v>
      </c>
      <c r="B35" s="14" t="s">
        <v>1365</v>
      </c>
      <c r="C35" s="14" t="s">
        <v>1366</v>
      </c>
      <c r="D35" s="14">
        <v>95</v>
      </c>
      <c r="E35" s="14" t="s">
        <v>1348</v>
      </c>
      <c r="F35" s="14"/>
      <c r="G35" s="14">
        <v>1</v>
      </c>
      <c r="H35" s="14">
        <f t="shared" si="0"/>
        <v>82.191</v>
      </c>
      <c r="I35" s="14"/>
      <c r="J35" s="14"/>
      <c r="K35" s="14"/>
      <c r="L35" s="14"/>
      <c r="M35" s="14"/>
      <c r="N35" s="14"/>
    </row>
    <row r="36" s="8" customFormat="1" ht="20" customHeight="1" spans="1:14">
      <c r="A36" s="14">
        <v>32</v>
      </c>
      <c r="B36" s="14" t="s">
        <v>1367</v>
      </c>
      <c r="C36" s="14" t="s">
        <v>1368</v>
      </c>
      <c r="D36" s="14">
        <v>98</v>
      </c>
      <c r="E36" s="14" t="s">
        <v>1369</v>
      </c>
      <c r="F36" s="14"/>
      <c r="G36" s="14"/>
      <c r="H36" s="14">
        <f t="shared" si="0"/>
        <v>81.809</v>
      </c>
      <c r="I36" s="14"/>
      <c r="J36" s="14"/>
      <c r="K36" s="14"/>
      <c r="L36" s="14"/>
      <c r="M36" s="14"/>
      <c r="N36" s="14"/>
    </row>
    <row r="37" s="8" customFormat="1" ht="20" customHeight="1" spans="1:14">
      <c r="A37" s="14">
        <v>33</v>
      </c>
      <c r="B37" s="14" t="s">
        <v>1370</v>
      </c>
      <c r="C37" s="14" t="s">
        <v>1371</v>
      </c>
      <c r="D37" s="14">
        <v>95</v>
      </c>
      <c r="E37" s="14" t="s">
        <v>1302</v>
      </c>
      <c r="F37" s="14"/>
      <c r="G37" s="14">
        <v>4</v>
      </c>
      <c r="H37" s="14">
        <f t="shared" si="0"/>
        <v>81.291</v>
      </c>
      <c r="I37" s="14"/>
      <c r="J37" s="14"/>
      <c r="K37" s="14"/>
      <c r="L37" s="14"/>
      <c r="M37" s="14"/>
      <c r="N37" s="14"/>
    </row>
    <row r="38" s="8" customFormat="1" ht="20" customHeight="1" spans="1:14">
      <c r="A38" s="14">
        <v>34</v>
      </c>
      <c r="B38" s="14" t="s">
        <v>1372</v>
      </c>
      <c r="C38" s="14" t="s">
        <v>1373</v>
      </c>
      <c r="D38" s="14">
        <v>95</v>
      </c>
      <c r="E38" s="14" t="s">
        <v>44</v>
      </c>
      <c r="F38" s="14">
        <v>1</v>
      </c>
      <c r="G38" s="14">
        <v>2</v>
      </c>
      <c r="H38" s="14">
        <f t="shared" si="0"/>
        <v>80.511</v>
      </c>
      <c r="I38" s="14"/>
      <c r="J38" s="14"/>
      <c r="K38" s="14"/>
      <c r="L38" s="14"/>
      <c r="M38" s="14"/>
      <c r="N38" s="14"/>
    </row>
    <row r="39" s="8" customFormat="1" ht="20" customHeight="1" spans="1:14">
      <c r="A39" s="14">
        <v>35</v>
      </c>
      <c r="B39" s="14" t="s">
        <v>1374</v>
      </c>
      <c r="C39" s="14" t="s">
        <v>1375</v>
      </c>
      <c r="D39" s="14">
        <v>98</v>
      </c>
      <c r="E39" s="14" t="s">
        <v>1376</v>
      </c>
      <c r="F39" s="14"/>
      <c r="G39" s="14"/>
      <c r="H39" s="14">
        <f t="shared" si="0"/>
        <v>79.611</v>
      </c>
      <c r="I39" s="14"/>
      <c r="J39" s="14"/>
      <c r="K39" s="14"/>
      <c r="L39" s="14"/>
      <c r="M39" s="14"/>
      <c r="N39" s="14"/>
    </row>
    <row r="40" s="8" customFormat="1" ht="20" customHeight="1" spans="1:14">
      <c r="A40" s="14">
        <v>36</v>
      </c>
      <c r="B40" s="14" t="s">
        <v>1377</v>
      </c>
      <c r="C40" s="14" t="s">
        <v>1378</v>
      </c>
      <c r="D40" s="14">
        <v>95</v>
      </c>
      <c r="E40" s="14" t="s">
        <v>1379</v>
      </c>
      <c r="F40" s="14">
        <v>1</v>
      </c>
      <c r="G40" s="14">
        <v>4</v>
      </c>
      <c r="H40" s="14">
        <f t="shared" si="0"/>
        <v>79.449</v>
      </c>
      <c r="I40" s="14"/>
      <c r="J40" s="14"/>
      <c r="K40" s="14"/>
      <c r="L40" s="14"/>
      <c r="M40" s="14"/>
      <c r="N40" s="14"/>
    </row>
    <row r="41" s="8" customFormat="1" ht="20" customHeight="1" spans="1:14">
      <c r="A41" s="14">
        <v>37</v>
      </c>
      <c r="B41" s="14" t="s">
        <v>1380</v>
      </c>
      <c r="C41" s="14" t="s">
        <v>1381</v>
      </c>
      <c r="D41" s="14">
        <v>95</v>
      </c>
      <c r="E41" s="14" t="s">
        <v>214</v>
      </c>
      <c r="F41" s="14"/>
      <c r="G41" s="14">
        <v>2</v>
      </c>
      <c r="H41" s="14">
        <f t="shared" si="0"/>
        <v>78.489</v>
      </c>
      <c r="I41" s="14"/>
      <c r="J41" s="14"/>
      <c r="K41" s="14"/>
      <c r="L41" s="14"/>
      <c r="M41" s="14"/>
      <c r="N41" s="14"/>
    </row>
    <row r="42" s="8" customFormat="1" ht="20" customHeight="1" spans="1:14">
      <c r="A42" s="14">
        <v>38</v>
      </c>
      <c r="B42" s="14" t="s">
        <v>1382</v>
      </c>
      <c r="C42" s="14" t="s">
        <v>1383</v>
      </c>
      <c r="D42" s="14">
        <v>95</v>
      </c>
      <c r="E42" s="14" t="s">
        <v>1384</v>
      </c>
      <c r="F42" s="14"/>
      <c r="G42" s="14">
        <v>2</v>
      </c>
      <c r="H42" s="14">
        <f t="shared" si="0"/>
        <v>78.16</v>
      </c>
      <c r="I42" s="14"/>
      <c r="J42" s="14"/>
      <c r="K42" s="14"/>
      <c r="L42" s="14"/>
      <c r="M42" s="14"/>
      <c r="N42" s="14"/>
    </row>
    <row r="43" s="8" customFormat="1" ht="20" customHeight="1" spans="1:14">
      <c r="A43" s="14">
        <v>39</v>
      </c>
      <c r="B43" s="14" t="s">
        <v>1385</v>
      </c>
      <c r="C43" s="14" t="s">
        <v>1386</v>
      </c>
      <c r="D43" s="14">
        <v>95</v>
      </c>
      <c r="E43" s="14" t="s">
        <v>91</v>
      </c>
      <c r="F43" s="14"/>
      <c r="G43" s="14">
        <v>4</v>
      </c>
      <c r="H43" s="14">
        <f t="shared" si="0"/>
        <v>75.789</v>
      </c>
      <c r="I43" s="14"/>
      <c r="J43" s="14"/>
      <c r="K43" s="14"/>
      <c r="L43" s="14"/>
      <c r="M43" s="14"/>
      <c r="N43" s="14"/>
    </row>
    <row r="44" s="8" customFormat="1" ht="20" customHeight="1" spans="1:14">
      <c r="A44" s="14">
        <v>40</v>
      </c>
      <c r="B44" s="14" t="s">
        <v>1387</v>
      </c>
      <c r="C44" s="14" t="s">
        <v>1388</v>
      </c>
      <c r="D44" s="14">
        <v>95</v>
      </c>
      <c r="E44" s="14" t="s">
        <v>1389</v>
      </c>
      <c r="F44" s="14"/>
      <c r="G44" s="14">
        <v>4</v>
      </c>
      <c r="H44" s="14">
        <f t="shared" si="0"/>
        <v>73.92</v>
      </c>
      <c r="I44" s="14"/>
      <c r="J44" s="14"/>
      <c r="K44" s="14"/>
      <c r="L44" s="14"/>
      <c r="M44" s="14"/>
      <c r="N44" s="14"/>
    </row>
    <row r="45" s="8" customFormat="1" ht="20" customHeight="1" spans="1:14">
      <c r="A45" s="14">
        <v>41</v>
      </c>
      <c r="B45" s="14" t="s">
        <v>1390</v>
      </c>
      <c r="C45" s="14" t="s">
        <v>1391</v>
      </c>
      <c r="D45" s="14">
        <v>95</v>
      </c>
      <c r="E45" s="14" t="s">
        <v>1392</v>
      </c>
      <c r="F45" s="14"/>
      <c r="G45" s="14">
        <v>10</v>
      </c>
      <c r="H45" s="14">
        <f t="shared" si="0"/>
        <v>72.869</v>
      </c>
      <c r="I45" s="14"/>
      <c r="J45" s="14"/>
      <c r="K45" s="14"/>
      <c r="L45" s="14"/>
      <c r="M45" s="14"/>
      <c r="N45" s="14"/>
    </row>
    <row r="46" s="8" customFormat="1" ht="20" customHeight="1" spans="1:14">
      <c r="A46" s="14">
        <v>42</v>
      </c>
      <c r="B46" s="14" t="s">
        <v>1393</v>
      </c>
      <c r="C46" s="14" t="s">
        <v>1394</v>
      </c>
      <c r="D46" s="14">
        <v>95</v>
      </c>
      <c r="E46" s="14" t="s">
        <v>1395</v>
      </c>
      <c r="F46" s="14"/>
      <c r="G46" s="14">
        <v>6</v>
      </c>
      <c r="H46" s="14">
        <f t="shared" si="0"/>
        <v>67.951</v>
      </c>
      <c r="I46" s="14"/>
      <c r="J46" s="14"/>
      <c r="K46" s="14"/>
      <c r="L46" s="14"/>
      <c r="M46" s="14"/>
      <c r="N46" s="14"/>
    </row>
    <row r="47" s="8" customFormat="1" ht="20" customHeight="1" spans="1:14">
      <c r="A47" s="14">
        <v>43</v>
      </c>
      <c r="B47" s="14" t="s">
        <v>1396</v>
      </c>
      <c r="C47" s="14" t="s">
        <v>1397</v>
      </c>
      <c r="D47" s="14">
        <v>95</v>
      </c>
      <c r="E47" s="14" t="s">
        <v>1398</v>
      </c>
      <c r="F47" s="14"/>
      <c r="G47" s="14">
        <v>18</v>
      </c>
      <c r="H47" s="14">
        <f t="shared" si="0"/>
        <v>60.571</v>
      </c>
      <c r="I47" s="14"/>
      <c r="J47" s="14"/>
      <c r="K47" s="14"/>
      <c r="L47" s="14"/>
      <c r="M47" s="14"/>
      <c r="N47" s="14"/>
    </row>
    <row r="48" spans="1:15">
      <c r="A48" s="19" t="s">
        <v>119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</row>
  </sheetData>
  <mergeCells count="4">
    <mergeCell ref="A1:N1"/>
    <mergeCell ref="A2:N2"/>
    <mergeCell ref="A3:N3"/>
    <mergeCell ref="A48:O48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workbookViewId="0">
      <selection activeCell="B12" sqref="B12:C12"/>
    </sheetView>
  </sheetViews>
  <sheetFormatPr defaultColWidth="8.75" defaultRowHeight="16.8"/>
  <cols>
    <col min="2" max="2" width="16.5" customWidth="1"/>
    <col min="3" max="3" width="11.2115384615385" customWidth="1"/>
    <col min="4" max="4" width="14.4230769230769" customWidth="1"/>
    <col min="5" max="5" width="12.8173076923077" customWidth="1"/>
    <col min="6" max="6" width="13.7788461538462" customWidth="1"/>
    <col min="7" max="7" width="10.7307692307692" customWidth="1"/>
    <col min="8" max="8" width="20.0288461538462" customWidth="1"/>
  </cols>
  <sheetData>
    <row r="1" ht="24" customHeight="1" spans="1:1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44" customHeight="1" spans="1:14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ht="33" customHeight="1" spans="1:14">
      <c r="A3" s="11" t="s">
        <v>1399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ht="63" customHeight="1" spans="1:14">
      <c r="A4" s="12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9</v>
      </c>
      <c r="G4" s="12" t="s">
        <v>10</v>
      </c>
      <c r="H4" s="12" t="s">
        <v>753</v>
      </c>
      <c r="I4" s="12" t="s">
        <v>12</v>
      </c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="8" customFormat="1" ht="20" customHeight="1" spans="1:14">
      <c r="A5" s="13">
        <v>1</v>
      </c>
      <c r="B5" s="13" t="s">
        <v>1400</v>
      </c>
      <c r="C5" s="13" t="s">
        <v>1401</v>
      </c>
      <c r="D5" s="13">
        <v>100</v>
      </c>
      <c r="E5" s="13" t="s">
        <v>948</v>
      </c>
      <c r="F5" s="13">
        <v>9.5</v>
      </c>
      <c r="G5" s="13"/>
      <c r="H5" s="13">
        <f>D5*0.3+E5*0.7+F5-G5</f>
        <v>96.9</v>
      </c>
      <c r="I5" s="13"/>
      <c r="J5" s="13"/>
      <c r="K5" s="13"/>
      <c r="L5" s="13"/>
      <c r="M5" s="13"/>
      <c r="N5" s="13" t="s">
        <v>21</v>
      </c>
    </row>
    <row r="6" s="8" customFormat="1" ht="20" customHeight="1" spans="1:14">
      <c r="A6" s="13">
        <v>2</v>
      </c>
      <c r="B6" s="13" t="s">
        <v>1402</v>
      </c>
      <c r="C6" s="13" t="s">
        <v>1403</v>
      </c>
      <c r="D6" s="13">
        <v>100</v>
      </c>
      <c r="E6" s="13" t="s">
        <v>1404</v>
      </c>
      <c r="F6" s="13">
        <v>3.5</v>
      </c>
      <c r="G6" s="13"/>
      <c r="H6" s="13">
        <f>D6*0.3+E6*0.7+F6-G6</f>
        <v>94.071</v>
      </c>
      <c r="I6" s="13"/>
      <c r="J6" s="13"/>
      <c r="K6" s="13"/>
      <c r="L6" s="13"/>
      <c r="M6" s="13"/>
      <c r="N6" s="13" t="s">
        <v>21</v>
      </c>
    </row>
    <row r="7" s="8" customFormat="1" ht="20" customHeight="1" spans="1:14">
      <c r="A7" s="13">
        <v>3</v>
      </c>
      <c r="B7" s="13" t="s">
        <v>1405</v>
      </c>
      <c r="C7" s="13" t="s">
        <v>1406</v>
      </c>
      <c r="D7" s="13">
        <v>100</v>
      </c>
      <c r="E7" s="13" t="s">
        <v>1407</v>
      </c>
      <c r="F7" s="13">
        <v>2.5</v>
      </c>
      <c r="G7" s="13"/>
      <c r="H7" s="13">
        <f t="shared" ref="H7:H45" si="0">D7*0.3+E7*0.7+F7-G7</f>
        <v>90.88</v>
      </c>
      <c r="I7" s="13"/>
      <c r="J7" s="13"/>
      <c r="K7" s="13"/>
      <c r="L7" s="13"/>
      <c r="M7" s="13"/>
      <c r="N7" s="13" t="s">
        <v>21</v>
      </c>
    </row>
    <row r="8" s="8" customFormat="1" ht="20" customHeight="1" spans="1:14">
      <c r="A8" s="13">
        <v>4</v>
      </c>
      <c r="B8" s="13" t="s">
        <v>1408</v>
      </c>
      <c r="C8" s="13" t="s">
        <v>1409</v>
      </c>
      <c r="D8" s="13">
        <v>97</v>
      </c>
      <c r="E8" s="13" t="s">
        <v>1410</v>
      </c>
      <c r="F8" s="13"/>
      <c r="G8" s="13"/>
      <c r="H8" s="13">
        <f t="shared" si="0"/>
        <v>90.56</v>
      </c>
      <c r="I8" s="13"/>
      <c r="J8" s="13"/>
      <c r="K8" s="13"/>
      <c r="L8" s="13" t="s">
        <v>21</v>
      </c>
      <c r="M8" s="13" t="s">
        <v>21</v>
      </c>
      <c r="N8" s="13"/>
    </row>
    <row r="9" s="8" customFormat="1" ht="20" customHeight="1" spans="1:14">
      <c r="A9" s="13">
        <v>5</v>
      </c>
      <c r="B9" s="13" t="s">
        <v>1411</v>
      </c>
      <c r="C9" s="13" t="s">
        <v>1412</v>
      </c>
      <c r="D9" s="13">
        <v>96</v>
      </c>
      <c r="E9" s="13" t="s">
        <v>1413</v>
      </c>
      <c r="F9" s="13"/>
      <c r="G9" s="13"/>
      <c r="H9" s="13">
        <f t="shared" si="0"/>
        <v>88.86</v>
      </c>
      <c r="I9" s="13"/>
      <c r="J9" s="13"/>
      <c r="K9" s="13"/>
      <c r="L9" s="13"/>
      <c r="M9" s="13" t="s">
        <v>21</v>
      </c>
      <c r="N9" s="13"/>
    </row>
    <row r="10" s="8" customFormat="1" ht="20" customHeight="1" spans="1:14">
      <c r="A10" s="13">
        <v>6</v>
      </c>
      <c r="B10" s="13" t="s">
        <v>1414</v>
      </c>
      <c r="C10" s="13" t="s">
        <v>1415</v>
      </c>
      <c r="D10" s="13">
        <v>100</v>
      </c>
      <c r="E10" s="13" t="s">
        <v>1416</v>
      </c>
      <c r="F10" s="13">
        <v>1</v>
      </c>
      <c r="G10" s="13"/>
      <c r="H10" s="13">
        <f t="shared" si="0"/>
        <v>88.309</v>
      </c>
      <c r="I10" s="13"/>
      <c r="J10" s="13"/>
      <c r="K10" s="13"/>
      <c r="L10" s="13"/>
      <c r="M10" s="13" t="s">
        <v>21</v>
      </c>
      <c r="N10" s="13"/>
    </row>
    <row r="11" s="8" customFormat="1" ht="20" customHeight="1" spans="1:14">
      <c r="A11" s="13">
        <v>7</v>
      </c>
      <c r="B11" s="13" t="s">
        <v>1417</v>
      </c>
      <c r="C11" s="13" t="s">
        <v>1418</v>
      </c>
      <c r="D11" s="13">
        <v>100</v>
      </c>
      <c r="E11" s="13">
        <v>81.8</v>
      </c>
      <c r="F11" s="13"/>
      <c r="G11" s="13"/>
      <c r="H11" s="13">
        <f t="shared" si="0"/>
        <v>87.26</v>
      </c>
      <c r="I11" s="13"/>
      <c r="J11" s="13"/>
      <c r="K11" s="13"/>
      <c r="L11" s="13"/>
      <c r="M11" s="13" t="s">
        <v>21</v>
      </c>
      <c r="N11" s="13"/>
    </row>
    <row r="12" s="8" customFormat="1" ht="20" customHeight="1" spans="1:14">
      <c r="A12" s="13">
        <v>8</v>
      </c>
      <c r="B12" s="13" t="s">
        <v>1419</v>
      </c>
      <c r="C12" s="13" t="s">
        <v>1420</v>
      </c>
      <c r="D12" s="13">
        <v>100</v>
      </c>
      <c r="E12" s="13" t="s">
        <v>1356</v>
      </c>
      <c r="F12" s="13">
        <v>3.5</v>
      </c>
      <c r="G12" s="13"/>
      <c r="H12" s="13">
        <f t="shared" si="0"/>
        <v>87.12</v>
      </c>
      <c r="I12" s="13"/>
      <c r="J12" s="13"/>
      <c r="K12" s="13"/>
      <c r="L12" s="13"/>
      <c r="M12" s="13"/>
      <c r="N12" s="13" t="s">
        <v>21</v>
      </c>
    </row>
    <row r="13" s="8" customFormat="1" ht="20" customHeight="1" spans="1:14">
      <c r="A13" s="13">
        <v>9</v>
      </c>
      <c r="B13" s="13" t="s">
        <v>1421</v>
      </c>
      <c r="C13" s="13" t="s">
        <v>1422</v>
      </c>
      <c r="D13" s="13">
        <v>100</v>
      </c>
      <c r="E13" s="13" t="s">
        <v>1423</v>
      </c>
      <c r="F13" s="13">
        <v>1</v>
      </c>
      <c r="G13" s="13">
        <v>2</v>
      </c>
      <c r="H13" s="13">
        <f t="shared" si="0"/>
        <v>86.96</v>
      </c>
      <c r="I13" s="13"/>
      <c r="J13" s="13"/>
      <c r="K13" s="13"/>
      <c r="L13" s="13"/>
      <c r="M13" s="13"/>
      <c r="N13" s="13"/>
    </row>
    <row r="14" s="8" customFormat="1" ht="20" customHeight="1" spans="1:14">
      <c r="A14" s="13">
        <v>10</v>
      </c>
      <c r="B14" s="13" t="s">
        <v>1424</v>
      </c>
      <c r="C14" s="13" t="s">
        <v>1425</v>
      </c>
      <c r="D14" s="13">
        <v>90</v>
      </c>
      <c r="E14" s="13" t="s">
        <v>1426</v>
      </c>
      <c r="F14" s="13">
        <v>1.5</v>
      </c>
      <c r="G14" s="13"/>
      <c r="H14" s="13">
        <f t="shared" si="0"/>
        <v>86.831</v>
      </c>
      <c r="I14" s="13"/>
      <c r="J14" s="13"/>
      <c r="K14" s="13"/>
      <c r="L14" s="13"/>
      <c r="M14" s="13" t="s">
        <v>21</v>
      </c>
      <c r="N14" s="13"/>
    </row>
    <row r="15" s="8" customFormat="1" ht="20" customHeight="1" spans="1:14">
      <c r="A15" s="13">
        <v>11</v>
      </c>
      <c r="B15" s="13" t="s">
        <v>1427</v>
      </c>
      <c r="C15" s="13" t="s">
        <v>1428</v>
      </c>
      <c r="D15" s="13">
        <v>93</v>
      </c>
      <c r="E15" s="13" t="s">
        <v>1429</v>
      </c>
      <c r="F15" s="13">
        <v>2</v>
      </c>
      <c r="G15" s="13"/>
      <c r="H15" s="13">
        <f t="shared" si="0"/>
        <v>85.809</v>
      </c>
      <c r="I15" s="13"/>
      <c r="J15" s="13"/>
      <c r="K15" s="13"/>
      <c r="L15" s="13"/>
      <c r="M15" s="13" t="s">
        <v>21</v>
      </c>
      <c r="N15" s="13"/>
    </row>
    <row r="16" s="8" customFormat="1" ht="20" customHeight="1" spans="1:14">
      <c r="A16" s="13">
        <v>12</v>
      </c>
      <c r="B16" s="13" t="s">
        <v>1430</v>
      </c>
      <c r="C16" s="13" t="s">
        <v>1431</v>
      </c>
      <c r="D16" s="13">
        <v>100</v>
      </c>
      <c r="E16" s="13" t="s">
        <v>1359</v>
      </c>
      <c r="F16" s="13">
        <v>2</v>
      </c>
      <c r="G16" s="13"/>
      <c r="H16" s="13">
        <f t="shared" si="0"/>
        <v>85.76</v>
      </c>
      <c r="I16" s="13"/>
      <c r="J16" s="13"/>
      <c r="K16" s="13"/>
      <c r="L16" s="13"/>
      <c r="M16" s="13"/>
      <c r="N16" s="13"/>
    </row>
    <row r="17" s="8" customFormat="1" ht="20" customHeight="1" spans="1:14">
      <c r="A17" s="13">
        <v>13</v>
      </c>
      <c r="B17" s="13" t="s">
        <v>1432</v>
      </c>
      <c r="C17" s="13" t="s">
        <v>1433</v>
      </c>
      <c r="D17" s="13">
        <v>89</v>
      </c>
      <c r="E17" s="13" t="s">
        <v>1434</v>
      </c>
      <c r="F17" s="13"/>
      <c r="G17" s="13"/>
      <c r="H17" s="13">
        <f t="shared" si="0"/>
        <v>85.731</v>
      </c>
      <c r="I17" s="13"/>
      <c r="J17" s="13"/>
      <c r="K17" s="13"/>
      <c r="L17" s="13"/>
      <c r="M17" s="13"/>
      <c r="N17" s="13"/>
    </row>
    <row r="18" s="8" customFormat="1" ht="20" customHeight="1" spans="1:14">
      <c r="A18" s="13">
        <v>14</v>
      </c>
      <c r="B18" s="13" t="s">
        <v>1435</v>
      </c>
      <c r="C18" s="13" t="s">
        <v>1436</v>
      </c>
      <c r="D18" s="13">
        <v>93</v>
      </c>
      <c r="E18" s="13" t="s">
        <v>937</v>
      </c>
      <c r="F18" s="13">
        <v>2</v>
      </c>
      <c r="G18" s="13"/>
      <c r="H18" s="13">
        <f t="shared" si="0"/>
        <v>85.529</v>
      </c>
      <c r="I18" s="13"/>
      <c r="J18" s="13"/>
      <c r="K18" s="13"/>
      <c r="L18" s="13"/>
      <c r="M18" s="13"/>
      <c r="N18" s="13"/>
    </row>
    <row r="19" s="8" customFormat="1" ht="20" customHeight="1" spans="1:14">
      <c r="A19" s="13">
        <v>15</v>
      </c>
      <c r="B19" s="13" t="s">
        <v>1437</v>
      </c>
      <c r="C19" s="13" t="s">
        <v>1438</v>
      </c>
      <c r="D19" s="13">
        <v>92</v>
      </c>
      <c r="E19" s="13" t="s">
        <v>1331</v>
      </c>
      <c r="F19" s="13">
        <v>1.5</v>
      </c>
      <c r="G19" s="13"/>
      <c r="H19" s="13">
        <f t="shared" si="0"/>
        <v>85.331</v>
      </c>
      <c r="I19" s="13"/>
      <c r="J19" s="13"/>
      <c r="K19" s="13"/>
      <c r="L19" s="13"/>
      <c r="M19" s="13"/>
      <c r="N19" s="13"/>
    </row>
    <row r="20" s="8" customFormat="1" ht="20" customHeight="1" spans="1:14">
      <c r="A20" s="13">
        <v>16</v>
      </c>
      <c r="B20" s="13" t="s">
        <v>1439</v>
      </c>
      <c r="C20" s="13" t="s">
        <v>1440</v>
      </c>
      <c r="D20" s="13">
        <v>90</v>
      </c>
      <c r="E20" s="13" t="s">
        <v>1426</v>
      </c>
      <c r="F20" s="13"/>
      <c r="G20" s="13"/>
      <c r="H20" s="13">
        <f t="shared" si="0"/>
        <v>85.331</v>
      </c>
      <c r="I20" s="13"/>
      <c r="J20" s="13"/>
      <c r="K20" s="13"/>
      <c r="L20" s="13"/>
      <c r="M20" s="13"/>
      <c r="N20" s="13"/>
    </row>
    <row r="21" s="8" customFormat="1" ht="20" customHeight="1" spans="1:14">
      <c r="A21" s="14">
        <v>17</v>
      </c>
      <c r="B21" s="14" t="s">
        <v>1441</v>
      </c>
      <c r="C21" s="14" t="s">
        <v>1442</v>
      </c>
      <c r="D21" s="14">
        <v>89</v>
      </c>
      <c r="E21" s="14" t="s">
        <v>1443</v>
      </c>
      <c r="F21" s="14"/>
      <c r="G21" s="14"/>
      <c r="H21" s="14">
        <f t="shared" si="0"/>
        <v>84.849</v>
      </c>
      <c r="I21" s="14"/>
      <c r="J21" s="14"/>
      <c r="K21" s="14"/>
      <c r="L21" s="14"/>
      <c r="M21" s="14"/>
      <c r="N21" s="14"/>
    </row>
    <row r="22" s="8" customFormat="1" ht="20" customHeight="1" spans="1:14">
      <c r="A22" s="14">
        <v>18</v>
      </c>
      <c r="B22" s="14" t="s">
        <v>1444</v>
      </c>
      <c r="C22" s="14" t="s">
        <v>1445</v>
      </c>
      <c r="D22" s="14">
        <v>89</v>
      </c>
      <c r="E22" s="14" t="s">
        <v>1446</v>
      </c>
      <c r="F22" s="14"/>
      <c r="G22" s="14"/>
      <c r="H22" s="14">
        <f t="shared" si="0"/>
        <v>84.52</v>
      </c>
      <c r="I22" s="14"/>
      <c r="J22" s="14"/>
      <c r="K22" s="14"/>
      <c r="L22" s="14"/>
      <c r="M22" s="14"/>
      <c r="N22" s="14"/>
    </row>
    <row r="23" s="8" customFormat="1" ht="20" customHeight="1" spans="1:14">
      <c r="A23" s="14">
        <v>19</v>
      </c>
      <c r="B23" s="14" t="s">
        <v>1447</v>
      </c>
      <c r="C23" s="14" t="s">
        <v>1448</v>
      </c>
      <c r="D23" s="14">
        <v>88</v>
      </c>
      <c r="E23" s="14" t="s">
        <v>148</v>
      </c>
      <c r="F23" s="14"/>
      <c r="G23" s="14"/>
      <c r="H23" s="14">
        <f t="shared" si="0"/>
        <v>84.5</v>
      </c>
      <c r="I23" s="14"/>
      <c r="J23" s="14"/>
      <c r="K23" s="14"/>
      <c r="L23" s="14"/>
      <c r="M23" s="14"/>
      <c r="N23" s="14"/>
    </row>
    <row r="24" s="8" customFormat="1" ht="20" customHeight="1" spans="1:14">
      <c r="A24" s="14">
        <v>20</v>
      </c>
      <c r="B24" s="14" t="s">
        <v>1449</v>
      </c>
      <c r="C24" s="14" t="s">
        <v>1450</v>
      </c>
      <c r="D24" s="14">
        <v>87</v>
      </c>
      <c r="E24" s="14" t="s">
        <v>1451</v>
      </c>
      <c r="F24" s="14"/>
      <c r="G24" s="14">
        <v>2</v>
      </c>
      <c r="H24" s="14">
        <f t="shared" si="0"/>
        <v>84.3</v>
      </c>
      <c r="I24" s="14"/>
      <c r="J24" s="14"/>
      <c r="K24" s="14"/>
      <c r="L24" s="14"/>
      <c r="M24" s="14"/>
      <c r="N24" s="14"/>
    </row>
    <row r="25" s="8" customFormat="1" ht="20" customHeight="1" spans="1:14">
      <c r="A25" s="14">
        <v>21</v>
      </c>
      <c r="B25" s="14" t="s">
        <v>1452</v>
      </c>
      <c r="C25" s="14" t="s">
        <v>1453</v>
      </c>
      <c r="D25" s="14">
        <v>88</v>
      </c>
      <c r="E25" s="14" t="s">
        <v>1454</v>
      </c>
      <c r="F25" s="14"/>
      <c r="G25" s="14"/>
      <c r="H25" s="14">
        <f t="shared" si="0"/>
        <v>83.149</v>
      </c>
      <c r="I25" s="14"/>
      <c r="J25" s="14"/>
      <c r="K25" s="14"/>
      <c r="L25" s="14"/>
      <c r="M25" s="14"/>
      <c r="N25" s="14"/>
    </row>
    <row r="26" s="8" customFormat="1" ht="20" customHeight="1" spans="1:14">
      <c r="A26" s="14">
        <v>22</v>
      </c>
      <c r="B26" s="14" t="s">
        <v>1455</v>
      </c>
      <c r="C26" s="14" t="s">
        <v>1456</v>
      </c>
      <c r="D26" s="14">
        <v>88</v>
      </c>
      <c r="E26" s="14" t="s">
        <v>1030</v>
      </c>
      <c r="F26" s="14"/>
      <c r="G26" s="14">
        <v>2</v>
      </c>
      <c r="H26" s="14">
        <f t="shared" si="0"/>
        <v>82.871</v>
      </c>
      <c r="I26" s="14"/>
      <c r="J26" s="14"/>
      <c r="K26" s="14"/>
      <c r="L26" s="14"/>
      <c r="M26" s="14"/>
      <c r="N26" s="14"/>
    </row>
    <row r="27" s="8" customFormat="1" ht="20" customHeight="1" spans="1:14">
      <c r="A27" s="14">
        <v>23</v>
      </c>
      <c r="B27" s="14" t="s">
        <v>1457</v>
      </c>
      <c r="C27" s="14" t="s">
        <v>1458</v>
      </c>
      <c r="D27" s="14">
        <v>86</v>
      </c>
      <c r="E27" s="14" t="s">
        <v>1459</v>
      </c>
      <c r="F27" s="14"/>
      <c r="G27" s="14"/>
      <c r="H27" s="14">
        <f t="shared" si="0"/>
        <v>82.829</v>
      </c>
      <c r="I27" s="14"/>
      <c r="J27" s="14"/>
      <c r="K27" s="14"/>
      <c r="L27" s="14"/>
      <c r="M27" s="14"/>
      <c r="N27" s="14"/>
    </row>
    <row r="28" s="8" customFormat="1" ht="20" customHeight="1" spans="1:14">
      <c r="A28" s="14">
        <v>24</v>
      </c>
      <c r="B28" s="14" t="s">
        <v>1460</v>
      </c>
      <c r="C28" s="14" t="s">
        <v>1461</v>
      </c>
      <c r="D28" s="14">
        <v>95</v>
      </c>
      <c r="E28" s="14" t="s">
        <v>1462</v>
      </c>
      <c r="F28" s="14"/>
      <c r="G28" s="14"/>
      <c r="H28" s="14">
        <f t="shared" si="0"/>
        <v>82.68</v>
      </c>
      <c r="I28" s="14"/>
      <c r="J28" s="14"/>
      <c r="K28" s="14"/>
      <c r="L28" s="14"/>
      <c r="M28" s="14"/>
      <c r="N28" s="14"/>
    </row>
    <row r="29" s="8" customFormat="1" ht="20" customHeight="1" spans="1:14">
      <c r="A29" s="14">
        <v>25</v>
      </c>
      <c r="B29" s="14" t="s">
        <v>1463</v>
      </c>
      <c r="C29" s="14" t="s">
        <v>1464</v>
      </c>
      <c r="D29" s="14">
        <v>94</v>
      </c>
      <c r="E29" s="14" t="s">
        <v>1465</v>
      </c>
      <c r="F29" s="14"/>
      <c r="G29" s="14">
        <v>2</v>
      </c>
      <c r="H29" s="14">
        <f t="shared" si="0"/>
        <v>82.48</v>
      </c>
      <c r="I29" s="14"/>
      <c r="J29" s="14"/>
      <c r="K29" s="14"/>
      <c r="L29" s="14"/>
      <c r="M29" s="14"/>
      <c r="N29" s="14"/>
    </row>
    <row r="30" s="8" customFormat="1" ht="20" customHeight="1" spans="1:14">
      <c r="A30" s="14">
        <v>26</v>
      </c>
      <c r="B30" s="14" t="s">
        <v>1466</v>
      </c>
      <c r="C30" s="14" t="s">
        <v>1467</v>
      </c>
      <c r="D30" s="14">
        <v>98</v>
      </c>
      <c r="E30" s="14" t="s">
        <v>133</v>
      </c>
      <c r="F30" s="14"/>
      <c r="G30" s="14">
        <v>8</v>
      </c>
      <c r="H30" s="14">
        <f t="shared" si="0"/>
        <v>81.789</v>
      </c>
      <c r="I30" s="14"/>
      <c r="J30" s="14"/>
      <c r="K30" s="14"/>
      <c r="L30" s="14"/>
      <c r="M30" s="14"/>
      <c r="N30" s="14"/>
    </row>
    <row r="31" s="8" customFormat="1" ht="20" customHeight="1" spans="1:14">
      <c r="A31" s="14">
        <v>27</v>
      </c>
      <c r="B31" s="14" t="s">
        <v>1468</v>
      </c>
      <c r="C31" s="14" t="s">
        <v>1469</v>
      </c>
      <c r="D31" s="14">
        <v>90</v>
      </c>
      <c r="E31" s="14" t="s">
        <v>525</v>
      </c>
      <c r="F31" s="14"/>
      <c r="G31" s="14"/>
      <c r="H31" s="14">
        <f t="shared" si="0"/>
        <v>81.6</v>
      </c>
      <c r="I31" s="14"/>
      <c r="J31" s="14"/>
      <c r="K31" s="14"/>
      <c r="L31" s="14"/>
      <c r="M31" s="14"/>
      <c r="N31" s="14"/>
    </row>
    <row r="32" s="8" customFormat="1" ht="20" customHeight="1" spans="1:14">
      <c r="A32" s="14">
        <v>28</v>
      </c>
      <c r="B32" s="14" t="s">
        <v>1470</v>
      </c>
      <c r="C32" s="14" t="s">
        <v>1471</v>
      </c>
      <c r="D32" s="14">
        <v>87</v>
      </c>
      <c r="E32" s="14" t="s">
        <v>604</v>
      </c>
      <c r="F32" s="14"/>
      <c r="G32" s="14"/>
      <c r="H32" s="14">
        <f t="shared" si="0"/>
        <v>80.931</v>
      </c>
      <c r="I32" s="14"/>
      <c r="J32" s="14"/>
      <c r="K32" s="14"/>
      <c r="L32" s="14"/>
      <c r="M32" s="14"/>
      <c r="N32" s="14"/>
    </row>
    <row r="33" s="8" customFormat="1" ht="20" customHeight="1" spans="1:14">
      <c r="A33" s="14">
        <v>29</v>
      </c>
      <c r="B33" s="14" t="s">
        <v>1472</v>
      </c>
      <c r="C33" s="14" t="s">
        <v>1473</v>
      </c>
      <c r="D33" s="14">
        <v>89</v>
      </c>
      <c r="E33" s="14" t="s">
        <v>1331</v>
      </c>
      <c r="F33" s="14"/>
      <c r="G33" s="14">
        <v>2</v>
      </c>
      <c r="H33" s="14">
        <f t="shared" si="0"/>
        <v>80.931</v>
      </c>
      <c r="I33" s="14"/>
      <c r="J33" s="14"/>
      <c r="K33" s="14"/>
      <c r="L33" s="14"/>
      <c r="M33" s="14"/>
      <c r="N33" s="14"/>
    </row>
    <row r="34" s="8" customFormat="1" ht="20" customHeight="1" spans="1:14">
      <c r="A34" s="14">
        <v>30</v>
      </c>
      <c r="B34" s="14" t="s">
        <v>1474</v>
      </c>
      <c r="C34" s="14" t="s">
        <v>1475</v>
      </c>
      <c r="D34" s="14">
        <v>87</v>
      </c>
      <c r="E34" s="14" t="s">
        <v>1476</v>
      </c>
      <c r="F34" s="14"/>
      <c r="G34" s="14"/>
      <c r="H34" s="14">
        <f t="shared" si="0"/>
        <v>79.349</v>
      </c>
      <c r="I34" s="14"/>
      <c r="J34" s="14"/>
      <c r="K34" s="14"/>
      <c r="L34" s="14"/>
      <c r="M34" s="14"/>
      <c r="N34" s="14"/>
    </row>
    <row r="35" s="8" customFormat="1" ht="20" customHeight="1" spans="1:14">
      <c r="A35" s="14">
        <v>31</v>
      </c>
      <c r="B35" s="14" t="s">
        <v>1477</v>
      </c>
      <c r="C35" s="14" t="s">
        <v>1478</v>
      </c>
      <c r="D35" s="14">
        <v>80</v>
      </c>
      <c r="E35" s="14" t="s">
        <v>1479</v>
      </c>
      <c r="F35" s="14"/>
      <c r="G35" s="14"/>
      <c r="H35" s="14">
        <f t="shared" si="0"/>
        <v>78.551</v>
      </c>
      <c r="I35" s="14"/>
      <c r="J35" s="14"/>
      <c r="K35" s="14"/>
      <c r="L35" s="14"/>
      <c r="M35" s="14"/>
      <c r="N35" s="14"/>
    </row>
    <row r="36" s="8" customFormat="1" ht="20" customHeight="1" spans="1:14">
      <c r="A36" s="14">
        <v>32</v>
      </c>
      <c r="B36" s="14" t="s">
        <v>1480</v>
      </c>
      <c r="C36" s="14" t="s">
        <v>1481</v>
      </c>
      <c r="D36" s="14">
        <v>86</v>
      </c>
      <c r="E36" s="14" t="s">
        <v>1482</v>
      </c>
      <c r="F36" s="14"/>
      <c r="G36" s="14"/>
      <c r="H36" s="14">
        <f t="shared" si="0"/>
        <v>78.531</v>
      </c>
      <c r="I36" s="14"/>
      <c r="J36" s="14"/>
      <c r="K36" s="14"/>
      <c r="L36" s="14"/>
      <c r="M36" s="14"/>
      <c r="N36" s="14"/>
    </row>
    <row r="37" s="8" customFormat="1" ht="20" customHeight="1" spans="1:14">
      <c r="A37" s="14">
        <v>33</v>
      </c>
      <c r="B37" s="14" t="s">
        <v>1483</v>
      </c>
      <c r="C37" s="14" t="s">
        <v>1484</v>
      </c>
      <c r="D37" s="14">
        <v>93</v>
      </c>
      <c r="E37" s="14" t="s">
        <v>1485</v>
      </c>
      <c r="F37" s="14"/>
      <c r="G37" s="14">
        <v>2</v>
      </c>
      <c r="H37" s="14">
        <f t="shared" si="0"/>
        <v>78.26</v>
      </c>
      <c r="I37" s="14"/>
      <c r="J37" s="14"/>
      <c r="K37" s="14"/>
      <c r="L37" s="14"/>
      <c r="M37" s="14"/>
      <c r="N37" s="14"/>
    </row>
    <row r="38" s="8" customFormat="1" ht="20" customHeight="1" spans="1:14">
      <c r="A38" s="14">
        <v>34</v>
      </c>
      <c r="B38" s="14" t="s">
        <v>1486</v>
      </c>
      <c r="C38" s="14" t="s">
        <v>1487</v>
      </c>
      <c r="D38" s="14">
        <v>87</v>
      </c>
      <c r="E38" s="14" t="s">
        <v>1488</v>
      </c>
      <c r="F38" s="14">
        <v>1.5</v>
      </c>
      <c r="G38" s="14"/>
      <c r="H38" s="14">
        <f t="shared" si="0"/>
        <v>77.951</v>
      </c>
      <c r="I38" s="14"/>
      <c r="J38" s="14"/>
      <c r="K38" s="14"/>
      <c r="L38" s="14"/>
      <c r="M38" s="14"/>
      <c r="N38" s="14"/>
    </row>
    <row r="39" s="8" customFormat="1" ht="20" customHeight="1" spans="1:14">
      <c r="A39" s="14">
        <v>35</v>
      </c>
      <c r="B39" s="14" t="s">
        <v>1489</v>
      </c>
      <c r="C39" s="14" t="s">
        <v>1490</v>
      </c>
      <c r="D39" s="14">
        <v>85</v>
      </c>
      <c r="E39" s="14" t="s">
        <v>1491</v>
      </c>
      <c r="F39" s="14"/>
      <c r="G39" s="14">
        <v>4</v>
      </c>
      <c r="H39" s="14">
        <f t="shared" si="0"/>
        <v>76.709</v>
      </c>
      <c r="I39" s="14"/>
      <c r="J39" s="14"/>
      <c r="K39" s="14"/>
      <c r="L39" s="14"/>
      <c r="M39" s="14"/>
      <c r="N39" s="14"/>
    </row>
    <row r="40" s="8" customFormat="1" ht="20" customHeight="1" spans="1:14">
      <c r="A40" s="14">
        <v>36</v>
      </c>
      <c r="B40" s="14" t="s">
        <v>1492</v>
      </c>
      <c r="C40" s="14" t="s">
        <v>1493</v>
      </c>
      <c r="D40" s="14">
        <v>84</v>
      </c>
      <c r="E40" s="14" t="s">
        <v>1494</v>
      </c>
      <c r="F40" s="14"/>
      <c r="G40" s="14">
        <v>4</v>
      </c>
      <c r="H40" s="14">
        <f t="shared" si="0"/>
        <v>74.26</v>
      </c>
      <c r="I40" s="14"/>
      <c r="J40" s="14"/>
      <c r="K40" s="14"/>
      <c r="L40" s="14"/>
      <c r="M40" s="14"/>
      <c r="N40" s="14"/>
    </row>
    <row r="41" s="8" customFormat="1" ht="20" customHeight="1" spans="1:14">
      <c r="A41" s="14">
        <v>37</v>
      </c>
      <c r="B41" s="14" t="s">
        <v>1495</v>
      </c>
      <c r="C41" s="14" t="s">
        <v>1496</v>
      </c>
      <c r="D41" s="14">
        <v>90</v>
      </c>
      <c r="E41" s="14" t="s">
        <v>1497</v>
      </c>
      <c r="F41" s="14"/>
      <c r="G41" s="14">
        <v>4</v>
      </c>
      <c r="H41" s="14">
        <f t="shared" si="0"/>
        <v>73.869</v>
      </c>
      <c r="I41" s="14"/>
      <c r="J41" s="14"/>
      <c r="K41" s="14"/>
      <c r="L41" s="14"/>
      <c r="M41" s="14"/>
      <c r="N41" s="14"/>
    </row>
    <row r="42" s="8" customFormat="1" ht="20" customHeight="1" spans="1:14">
      <c r="A42" s="14">
        <v>38</v>
      </c>
      <c r="B42" s="14" t="s">
        <v>1498</v>
      </c>
      <c r="C42" s="14" t="s">
        <v>1499</v>
      </c>
      <c r="D42" s="14">
        <v>82</v>
      </c>
      <c r="E42" s="14" t="s">
        <v>1500</v>
      </c>
      <c r="F42" s="14"/>
      <c r="G42" s="14">
        <v>2</v>
      </c>
      <c r="H42" s="14">
        <f t="shared" si="0"/>
        <v>72.58</v>
      </c>
      <c r="I42" s="14"/>
      <c r="J42" s="14"/>
      <c r="K42" s="14"/>
      <c r="L42" s="14"/>
      <c r="M42" s="14"/>
      <c r="N42" s="14"/>
    </row>
    <row r="43" s="8" customFormat="1" ht="20" customHeight="1" spans="1:14">
      <c r="A43" s="14">
        <v>39</v>
      </c>
      <c r="B43" s="14" t="s">
        <v>1501</v>
      </c>
      <c r="C43" s="14" t="s">
        <v>1502</v>
      </c>
      <c r="D43" s="14">
        <v>82</v>
      </c>
      <c r="E43" s="14" t="s">
        <v>1503</v>
      </c>
      <c r="F43" s="14"/>
      <c r="G43" s="14">
        <v>4</v>
      </c>
      <c r="H43" s="14">
        <f t="shared" si="0"/>
        <v>71.189</v>
      </c>
      <c r="I43" s="14"/>
      <c r="J43" s="14"/>
      <c r="K43" s="14"/>
      <c r="L43" s="14"/>
      <c r="M43" s="14"/>
      <c r="N43" s="14"/>
    </row>
    <row r="44" s="8" customFormat="1" ht="20" customHeight="1" spans="1:14">
      <c r="A44" s="14">
        <v>40</v>
      </c>
      <c r="B44" s="14" t="s">
        <v>1504</v>
      </c>
      <c r="C44" s="14" t="s">
        <v>1505</v>
      </c>
      <c r="D44" s="14">
        <v>84</v>
      </c>
      <c r="E44" s="14" t="s">
        <v>1506</v>
      </c>
      <c r="F44" s="14">
        <v>2</v>
      </c>
      <c r="G44" s="14">
        <v>12</v>
      </c>
      <c r="H44" s="14">
        <f t="shared" si="0"/>
        <v>69.24</v>
      </c>
      <c r="I44" s="14"/>
      <c r="J44" s="14"/>
      <c r="K44" s="14"/>
      <c r="L44" s="14"/>
      <c r="M44" s="14"/>
      <c r="N44" s="14"/>
    </row>
    <row r="45" s="8" customFormat="1" ht="20" customHeight="1" spans="1:14">
      <c r="A45" s="14">
        <v>41</v>
      </c>
      <c r="B45" s="14" t="s">
        <v>1507</v>
      </c>
      <c r="C45" s="14" t="s">
        <v>1508</v>
      </c>
      <c r="D45" s="14">
        <v>83</v>
      </c>
      <c r="E45" s="14" t="s">
        <v>1509</v>
      </c>
      <c r="F45" s="14">
        <v>8</v>
      </c>
      <c r="G45" s="14">
        <v>18</v>
      </c>
      <c r="H45" s="14">
        <f t="shared" si="0"/>
        <v>67.4</v>
      </c>
      <c r="I45" s="14"/>
      <c r="J45" s="14"/>
      <c r="K45" s="14"/>
      <c r="L45" s="14"/>
      <c r="M45" s="14"/>
      <c r="N45" s="14"/>
    </row>
    <row r="46" spans="1:14">
      <c r="A46" s="15" t="s">
        <v>119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</sheetData>
  <mergeCells count="4">
    <mergeCell ref="A1:N1"/>
    <mergeCell ref="A2:N2"/>
    <mergeCell ref="A3:N3"/>
    <mergeCell ref="A46:N46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workbookViewId="0">
      <selection activeCell="R4" sqref="R4"/>
    </sheetView>
  </sheetViews>
  <sheetFormatPr defaultColWidth="8.75" defaultRowHeight="16.8"/>
  <cols>
    <col min="2" max="2" width="18.75" customWidth="1"/>
    <col min="3" max="3" width="12.8173076923077" customWidth="1"/>
    <col min="4" max="4" width="14.25" customWidth="1"/>
    <col min="5" max="5" width="14.7307692307692" customWidth="1"/>
    <col min="6" max="6" width="13.9423076923077" customWidth="1"/>
    <col min="7" max="7" width="11.6923076923077" customWidth="1"/>
    <col min="8" max="8" width="18.9134615384615" customWidth="1"/>
  </cols>
  <sheetData>
    <row r="1" spans="1:14">
      <c r="A1" s="9" t="s">
        <v>0</v>
      </c>
      <c r="B1" s="9"/>
      <c r="C1" s="9"/>
      <c r="D1" s="22"/>
      <c r="E1" s="9"/>
      <c r="F1" s="9"/>
      <c r="G1" s="9"/>
      <c r="H1" s="9"/>
      <c r="I1" s="9"/>
      <c r="J1" s="9"/>
      <c r="K1" s="9"/>
      <c r="L1" s="9"/>
      <c r="M1" s="9"/>
      <c r="N1" s="9"/>
    </row>
    <row r="2" ht="45" customHeight="1" spans="1:14">
      <c r="A2" s="10" t="s">
        <v>1</v>
      </c>
      <c r="B2" s="10"/>
      <c r="C2" s="10"/>
      <c r="D2" s="23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ht="34" customHeight="1" spans="1:14">
      <c r="A3" s="11" t="s">
        <v>1510</v>
      </c>
      <c r="B3" s="11"/>
      <c r="C3" s="11"/>
      <c r="D3" s="24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ht="70" customHeight="1" spans="1:14">
      <c r="A4" s="12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9</v>
      </c>
      <c r="G4" s="12" t="s">
        <v>10</v>
      </c>
      <c r="H4" s="12" t="s">
        <v>753</v>
      </c>
      <c r="I4" s="12" t="s">
        <v>12</v>
      </c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="8" customFormat="1" ht="20" customHeight="1" spans="1:14">
      <c r="A5" s="13">
        <v>1</v>
      </c>
      <c r="B5" s="13" t="s">
        <v>1511</v>
      </c>
      <c r="C5" s="13" t="s">
        <v>1512</v>
      </c>
      <c r="D5" s="13">
        <v>94.625</v>
      </c>
      <c r="E5" s="13" t="str">
        <f>VLOOKUP(C5,[2]Sheet2!$B$1:$J$44,9,FALSE)</f>
        <v>86.27</v>
      </c>
      <c r="F5" s="13">
        <v>12</v>
      </c>
      <c r="G5" s="13"/>
      <c r="H5" s="13">
        <f t="shared" ref="H5:H47" si="0">D5*0.3+E5*0.7+F5-G5</f>
        <v>100.7765</v>
      </c>
      <c r="I5" s="13"/>
      <c r="J5" s="13"/>
      <c r="K5" s="13"/>
      <c r="L5" s="13"/>
      <c r="M5" s="13" t="s">
        <v>21</v>
      </c>
      <c r="N5" s="13"/>
    </row>
    <row r="6" s="8" customFormat="1" ht="20" customHeight="1" spans="1:14">
      <c r="A6" s="13">
        <v>2</v>
      </c>
      <c r="B6" s="13" t="s">
        <v>1513</v>
      </c>
      <c r="C6" s="13" t="s">
        <v>1514</v>
      </c>
      <c r="D6" s="13">
        <v>94.625</v>
      </c>
      <c r="E6" s="13" t="str">
        <f>VLOOKUP(C6,[2]Sheet2!$B$1:$J$44,9,FALSE)</f>
        <v>83.00</v>
      </c>
      <c r="F6" s="13">
        <v>14</v>
      </c>
      <c r="G6" s="13"/>
      <c r="H6" s="13">
        <f t="shared" si="0"/>
        <v>100.4875</v>
      </c>
      <c r="I6" s="13"/>
      <c r="J6" s="13"/>
      <c r="K6" s="13"/>
      <c r="L6" s="13"/>
      <c r="M6" s="13" t="s">
        <v>21</v>
      </c>
      <c r="N6" s="13"/>
    </row>
    <row r="7" s="8" customFormat="1" ht="20" customHeight="1" spans="1:14">
      <c r="A7" s="13">
        <v>3</v>
      </c>
      <c r="B7" s="13" t="s">
        <v>1515</v>
      </c>
      <c r="C7" s="13" t="s">
        <v>1516</v>
      </c>
      <c r="D7" s="13">
        <v>96.75</v>
      </c>
      <c r="E7" s="13" t="str">
        <f>VLOOKUP(C7,[2]Sheet2!$B$1:$J$44,9,FALSE)</f>
        <v>85.73</v>
      </c>
      <c r="F7" s="13">
        <v>8</v>
      </c>
      <c r="G7" s="13"/>
      <c r="H7" s="13">
        <f t="shared" si="0"/>
        <v>97.036</v>
      </c>
      <c r="I7" s="13"/>
      <c r="J7" s="13"/>
      <c r="K7" s="13"/>
      <c r="L7" s="13"/>
      <c r="M7" s="13"/>
      <c r="N7" s="13" t="s">
        <v>21</v>
      </c>
    </row>
    <row r="8" s="8" customFormat="1" ht="20" customHeight="1" spans="1:14">
      <c r="A8" s="13">
        <v>4</v>
      </c>
      <c r="B8" s="13" t="s">
        <v>1517</v>
      </c>
      <c r="C8" s="13" t="s">
        <v>1518</v>
      </c>
      <c r="D8" s="13">
        <v>97.225</v>
      </c>
      <c r="E8" s="13" t="str">
        <f>VLOOKUP(C8,[2]Sheet2!$B$1:$J$44,9,FALSE)</f>
        <v>89.53</v>
      </c>
      <c r="F8" s="13">
        <v>2</v>
      </c>
      <c r="G8" s="13"/>
      <c r="H8" s="13">
        <f t="shared" si="0"/>
        <v>93.8385</v>
      </c>
      <c r="I8" s="13"/>
      <c r="J8" s="13"/>
      <c r="K8" s="13" t="s">
        <v>21</v>
      </c>
      <c r="L8" s="13"/>
      <c r="M8" s="13"/>
      <c r="N8" s="13" t="s">
        <v>21</v>
      </c>
    </row>
    <row r="9" s="8" customFormat="1" ht="20" customHeight="1" spans="1:14">
      <c r="A9" s="13">
        <v>5</v>
      </c>
      <c r="B9" s="13" t="s">
        <v>1519</v>
      </c>
      <c r="C9" s="13" t="s">
        <v>1520</v>
      </c>
      <c r="D9" s="13">
        <v>95.25</v>
      </c>
      <c r="E9" s="13" t="str">
        <f>VLOOKUP(C9,[2]Sheet2!$B$1:$J$44,9,FALSE)</f>
        <v>81.53</v>
      </c>
      <c r="F9" s="13">
        <v>7</v>
      </c>
      <c r="G9" s="13"/>
      <c r="H9" s="13">
        <f t="shared" si="0"/>
        <v>92.646</v>
      </c>
      <c r="I9" s="13"/>
      <c r="J9" s="13"/>
      <c r="K9" s="13"/>
      <c r="L9" s="13"/>
      <c r="M9" s="13"/>
      <c r="N9" s="13" t="s">
        <v>21</v>
      </c>
    </row>
    <row r="10" s="8" customFormat="1" ht="20" customHeight="1" spans="1:14">
      <c r="A10" s="13">
        <v>6</v>
      </c>
      <c r="B10" s="13" t="s">
        <v>1521</v>
      </c>
      <c r="C10" s="13" t="s">
        <v>1522</v>
      </c>
      <c r="D10" s="13">
        <v>94.975</v>
      </c>
      <c r="E10" s="13" t="str">
        <f>VLOOKUP(C10,[2]Sheet2!$B$1:$J$44,9,FALSE)</f>
        <v>88.40</v>
      </c>
      <c r="F10" s="13">
        <v>1</v>
      </c>
      <c r="G10" s="13"/>
      <c r="H10" s="13">
        <f t="shared" si="0"/>
        <v>91.3725</v>
      </c>
      <c r="I10" s="13"/>
      <c r="J10" s="13"/>
      <c r="K10" s="13" t="s">
        <v>21</v>
      </c>
      <c r="L10" s="13"/>
      <c r="M10" s="13" t="s">
        <v>21</v>
      </c>
      <c r="N10" s="13"/>
    </row>
    <row r="11" s="8" customFormat="1" ht="20" customHeight="1" spans="1:14">
      <c r="A11" s="13">
        <v>7</v>
      </c>
      <c r="B11" s="13" t="s">
        <v>1523</v>
      </c>
      <c r="C11" s="13" t="s">
        <v>1524</v>
      </c>
      <c r="D11" s="13">
        <v>95.125</v>
      </c>
      <c r="E11" s="13" t="str">
        <f>VLOOKUP(C11,[2]Sheet2!$B$1:$J$44,9,FALSE)</f>
        <v>82.13</v>
      </c>
      <c r="F11" s="13">
        <v>5</v>
      </c>
      <c r="G11" s="13"/>
      <c r="H11" s="13">
        <f t="shared" si="0"/>
        <v>91.0285</v>
      </c>
      <c r="I11" s="13"/>
      <c r="J11" s="13"/>
      <c r="K11" s="13"/>
      <c r="L11" s="13"/>
      <c r="M11" s="13" t="s">
        <v>21</v>
      </c>
      <c r="N11" s="13"/>
    </row>
    <row r="12" s="8" customFormat="1" ht="20" customHeight="1" spans="1:14">
      <c r="A12" s="13">
        <v>8</v>
      </c>
      <c r="B12" s="13" t="s">
        <v>1525</v>
      </c>
      <c r="C12" s="13" t="s">
        <v>1526</v>
      </c>
      <c r="D12" s="13">
        <v>94.75</v>
      </c>
      <c r="E12" s="13" t="str">
        <f>VLOOKUP(C12,[2]Sheet2!$B$1:$J$44,9,FALSE)</f>
        <v>88.40</v>
      </c>
      <c r="F12" s="13"/>
      <c r="G12" s="13"/>
      <c r="H12" s="13">
        <f t="shared" si="0"/>
        <v>90.305</v>
      </c>
      <c r="I12" s="13"/>
      <c r="J12" s="13"/>
      <c r="K12" s="13" t="s">
        <v>21</v>
      </c>
      <c r="L12" s="13"/>
      <c r="M12" s="13"/>
      <c r="N12" s="13"/>
    </row>
    <row r="13" s="8" customFormat="1" ht="20" customHeight="1" spans="1:14">
      <c r="A13" s="13">
        <v>9</v>
      </c>
      <c r="B13" s="13" t="s">
        <v>1527</v>
      </c>
      <c r="C13" s="13" t="s">
        <v>1528</v>
      </c>
      <c r="D13" s="13">
        <v>94.525</v>
      </c>
      <c r="E13" s="13" t="str">
        <f>VLOOKUP(C13,[2]Sheet2!$B$1:$J$44,9,FALSE)</f>
        <v>86.93</v>
      </c>
      <c r="F13" s="13">
        <v>1</v>
      </c>
      <c r="G13" s="13"/>
      <c r="H13" s="13">
        <f t="shared" si="0"/>
        <v>90.2085</v>
      </c>
      <c r="I13" s="13"/>
      <c r="J13" s="13"/>
      <c r="K13" s="13"/>
      <c r="L13" s="13"/>
      <c r="M13" s="13" t="s">
        <v>21</v>
      </c>
      <c r="N13" s="13"/>
    </row>
    <row r="14" s="8" customFormat="1" ht="20" customHeight="1" spans="1:14">
      <c r="A14" s="13">
        <v>10</v>
      </c>
      <c r="B14" s="13" t="s">
        <v>1529</v>
      </c>
      <c r="C14" s="13" t="s">
        <v>1530</v>
      </c>
      <c r="D14" s="13">
        <v>95.3</v>
      </c>
      <c r="E14" s="13" t="str">
        <f>VLOOKUP(C14,[2]Sheet2!$B$1:$J$44,9,FALSE)</f>
        <v>87.87</v>
      </c>
      <c r="F14" s="13"/>
      <c r="G14" s="13"/>
      <c r="H14" s="13">
        <f t="shared" si="0"/>
        <v>90.099</v>
      </c>
      <c r="I14" s="13"/>
      <c r="J14" s="13"/>
      <c r="K14" s="13"/>
      <c r="L14" s="13" t="s">
        <v>21</v>
      </c>
      <c r="M14" s="13"/>
      <c r="N14" s="13"/>
    </row>
    <row r="15" s="8" customFormat="1" ht="20" customHeight="1" spans="1:14">
      <c r="A15" s="13">
        <v>11</v>
      </c>
      <c r="B15" s="13" t="s">
        <v>1531</v>
      </c>
      <c r="C15" s="13" t="s">
        <v>1532</v>
      </c>
      <c r="D15" s="13">
        <v>96.05</v>
      </c>
      <c r="E15" s="13" t="str">
        <f>VLOOKUP(C15,[2]Sheet2!$B$1:$J$44,9,FALSE)</f>
        <v>83.67</v>
      </c>
      <c r="F15" s="13">
        <v>2</v>
      </c>
      <c r="G15" s="13"/>
      <c r="H15" s="13">
        <f t="shared" si="0"/>
        <v>89.384</v>
      </c>
      <c r="I15" s="13"/>
      <c r="J15" s="13"/>
      <c r="K15" s="13"/>
      <c r="L15" s="13"/>
      <c r="M15" s="13"/>
      <c r="N15" s="13" t="s">
        <v>21</v>
      </c>
    </row>
    <row r="16" s="8" customFormat="1" ht="20" customHeight="1" spans="1:14">
      <c r="A16" s="13">
        <v>12</v>
      </c>
      <c r="B16" s="13" t="s">
        <v>1533</v>
      </c>
      <c r="C16" s="13" t="s">
        <v>1534</v>
      </c>
      <c r="D16" s="13">
        <v>94.15</v>
      </c>
      <c r="E16" s="13" t="str">
        <f>VLOOKUP(C16,[2]Sheet2!$B$1:$J$44,9,FALSE)</f>
        <v>86.67</v>
      </c>
      <c r="F16" s="13"/>
      <c r="G16" s="13"/>
      <c r="H16" s="13">
        <f t="shared" si="0"/>
        <v>88.914</v>
      </c>
      <c r="I16" s="13"/>
      <c r="J16" s="13"/>
      <c r="K16" s="13"/>
      <c r="L16" s="13"/>
      <c r="M16" s="13"/>
      <c r="N16" s="13"/>
    </row>
    <row r="17" s="8" customFormat="1" ht="20" customHeight="1" spans="1:14">
      <c r="A17" s="13">
        <v>13</v>
      </c>
      <c r="B17" s="13" t="s">
        <v>1535</v>
      </c>
      <c r="C17" s="13" t="s">
        <v>1536</v>
      </c>
      <c r="D17" s="13">
        <v>95.525</v>
      </c>
      <c r="E17" s="13" t="str">
        <f>VLOOKUP(C17,[2]Sheet2!$B$1:$J$44,9,FALSE)</f>
        <v>84.67</v>
      </c>
      <c r="F17" s="13"/>
      <c r="G17" s="13"/>
      <c r="H17" s="13">
        <f t="shared" si="0"/>
        <v>87.9265</v>
      </c>
      <c r="I17" s="13"/>
      <c r="J17" s="13"/>
      <c r="K17" s="13"/>
      <c r="L17" s="13"/>
      <c r="M17" s="13"/>
      <c r="N17" s="13"/>
    </row>
    <row r="18" s="8" customFormat="1" ht="20" customHeight="1" spans="1:14">
      <c r="A18" s="13">
        <v>14</v>
      </c>
      <c r="B18" s="13" t="s">
        <v>1537</v>
      </c>
      <c r="C18" s="13" t="s">
        <v>1538</v>
      </c>
      <c r="D18" s="13">
        <v>95.5</v>
      </c>
      <c r="E18" s="13" t="str">
        <f>VLOOKUP(C18,[2]Sheet2!$B$1:$J$44,9,FALSE)</f>
        <v>84.40</v>
      </c>
      <c r="F18" s="13"/>
      <c r="G18" s="13"/>
      <c r="H18" s="13">
        <f t="shared" si="0"/>
        <v>87.73</v>
      </c>
      <c r="I18" s="13"/>
      <c r="J18" s="13"/>
      <c r="K18" s="13"/>
      <c r="L18" s="13"/>
      <c r="M18" s="13" t="s">
        <v>21</v>
      </c>
      <c r="N18" s="13"/>
    </row>
    <row r="19" s="8" customFormat="1" ht="20" customHeight="1" spans="1:14">
      <c r="A19" s="13">
        <v>15</v>
      </c>
      <c r="B19" s="13" t="s">
        <v>1539</v>
      </c>
      <c r="C19" s="13" t="s">
        <v>1540</v>
      </c>
      <c r="D19" s="13">
        <v>95.7</v>
      </c>
      <c r="E19" s="13" t="str">
        <f>VLOOKUP(C19,[2]Sheet2!$B$1:$J$44,9,FALSE)</f>
        <v>83.93</v>
      </c>
      <c r="F19" s="13"/>
      <c r="G19" s="13"/>
      <c r="H19" s="13">
        <f t="shared" si="0"/>
        <v>87.461</v>
      </c>
      <c r="I19" s="13"/>
      <c r="J19" s="13"/>
      <c r="K19" s="13"/>
      <c r="L19" s="13"/>
      <c r="M19" s="13"/>
      <c r="N19" s="13"/>
    </row>
    <row r="20" s="8" customFormat="1" ht="20" customHeight="1" spans="1:14">
      <c r="A20" s="13">
        <v>16</v>
      </c>
      <c r="B20" s="13" t="s">
        <v>1541</v>
      </c>
      <c r="C20" s="13" t="s">
        <v>1542</v>
      </c>
      <c r="D20" s="13">
        <v>94.725</v>
      </c>
      <c r="E20" s="13" t="str">
        <f>VLOOKUP(C20,[2]Sheet2!$B$1:$J$44,9,FALSE)</f>
        <v>82.47</v>
      </c>
      <c r="F20" s="13">
        <v>1</v>
      </c>
      <c r="G20" s="13"/>
      <c r="H20" s="13">
        <f t="shared" si="0"/>
        <v>87.1465</v>
      </c>
      <c r="I20" s="13"/>
      <c r="J20" s="13"/>
      <c r="K20" s="13"/>
      <c r="L20" s="13"/>
      <c r="M20" s="13"/>
      <c r="N20" s="13"/>
    </row>
    <row r="21" s="8" customFormat="1" ht="20" customHeight="1" spans="1:14">
      <c r="A21" s="13">
        <v>17</v>
      </c>
      <c r="B21" s="13" t="s">
        <v>1543</v>
      </c>
      <c r="C21" s="13" t="s">
        <v>1544</v>
      </c>
      <c r="D21" s="13">
        <v>94.625</v>
      </c>
      <c r="E21" s="13" t="str">
        <f>VLOOKUP(C21,[2]Sheet2!$B$1:$J$44,9,FALSE)</f>
        <v>83.87</v>
      </c>
      <c r="F21" s="13"/>
      <c r="G21" s="13"/>
      <c r="H21" s="13">
        <f t="shared" si="0"/>
        <v>87.0965</v>
      </c>
      <c r="I21" s="13"/>
      <c r="J21" s="13"/>
      <c r="K21" s="13"/>
      <c r="L21" s="13"/>
      <c r="M21" s="13"/>
      <c r="N21" s="13"/>
    </row>
    <row r="22" s="8" customFormat="1" ht="20" customHeight="1" spans="1:14">
      <c r="A22" s="14">
        <v>18</v>
      </c>
      <c r="B22" s="14" t="s">
        <v>1545</v>
      </c>
      <c r="C22" s="14" t="s">
        <v>1546</v>
      </c>
      <c r="D22" s="14">
        <v>94.8</v>
      </c>
      <c r="E22" s="14" t="str">
        <f>VLOOKUP(C22,[2]Sheet2!$B$1:$J$44,9,FALSE)</f>
        <v>83.60</v>
      </c>
      <c r="F22" s="14"/>
      <c r="G22" s="14"/>
      <c r="H22" s="14">
        <f t="shared" si="0"/>
        <v>86.96</v>
      </c>
      <c r="I22" s="14"/>
      <c r="J22" s="14"/>
      <c r="K22" s="14"/>
      <c r="L22" s="14"/>
      <c r="M22" s="14"/>
      <c r="N22" s="14"/>
    </row>
    <row r="23" s="8" customFormat="1" ht="20" customHeight="1" spans="1:14">
      <c r="A23" s="14">
        <v>19</v>
      </c>
      <c r="B23" s="14" t="s">
        <v>1547</v>
      </c>
      <c r="C23" s="14" t="s">
        <v>1548</v>
      </c>
      <c r="D23" s="14">
        <v>94.8</v>
      </c>
      <c r="E23" s="14" t="str">
        <f>VLOOKUP(C23,[2]Sheet2!$B$1:$J$44,9,FALSE)</f>
        <v>83.07</v>
      </c>
      <c r="F23" s="14"/>
      <c r="G23" s="14"/>
      <c r="H23" s="14">
        <f t="shared" si="0"/>
        <v>86.589</v>
      </c>
      <c r="I23" s="14"/>
      <c r="J23" s="14"/>
      <c r="K23" s="14"/>
      <c r="L23" s="14"/>
      <c r="M23" s="14"/>
      <c r="N23" s="14"/>
    </row>
    <row r="24" s="8" customFormat="1" ht="20" customHeight="1" spans="1:14">
      <c r="A24" s="14">
        <v>20</v>
      </c>
      <c r="B24" s="14" t="s">
        <v>1549</v>
      </c>
      <c r="C24" s="14" t="s">
        <v>1550</v>
      </c>
      <c r="D24" s="14">
        <v>94.1</v>
      </c>
      <c r="E24" s="14" t="str">
        <f>VLOOKUP(C24,[2]Sheet2!$B$1:$J$44,9,FALSE)</f>
        <v>83.33</v>
      </c>
      <c r="F24" s="14"/>
      <c r="G24" s="14"/>
      <c r="H24" s="14">
        <f t="shared" si="0"/>
        <v>86.561</v>
      </c>
      <c r="I24" s="14"/>
      <c r="J24" s="14"/>
      <c r="K24" s="14"/>
      <c r="L24" s="14"/>
      <c r="M24" s="14"/>
      <c r="N24" s="14"/>
    </row>
    <row r="25" s="8" customFormat="1" ht="20" customHeight="1" spans="1:14">
      <c r="A25" s="14">
        <v>21</v>
      </c>
      <c r="B25" s="14" t="s">
        <v>1551</v>
      </c>
      <c r="C25" s="14" t="s">
        <v>1552</v>
      </c>
      <c r="D25" s="14">
        <v>93.325</v>
      </c>
      <c r="E25" s="14" t="str">
        <f>VLOOKUP(C25,[2]Sheet2!$B$1:$J$44,9,FALSE)</f>
        <v>83.40</v>
      </c>
      <c r="F25" s="14"/>
      <c r="G25" s="14"/>
      <c r="H25" s="14">
        <f t="shared" si="0"/>
        <v>86.3775</v>
      </c>
      <c r="I25" s="14"/>
      <c r="J25" s="14"/>
      <c r="K25" s="14"/>
      <c r="L25" s="14"/>
      <c r="M25" s="14"/>
      <c r="N25" s="14"/>
    </row>
    <row r="26" s="8" customFormat="1" ht="20" customHeight="1" spans="1:14">
      <c r="A26" s="14">
        <v>22</v>
      </c>
      <c r="B26" s="14" t="s">
        <v>1553</v>
      </c>
      <c r="C26" s="14" t="s">
        <v>1554</v>
      </c>
      <c r="D26" s="14">
        <v>96.1</v>
      </c>
      <c r="E26" s="14" t="str">
        <f>VLOOKUP(C26,[2]Sheet2!$B$1:$J$44,9,FALSE)</f>
        <v>78.60</v>
      </c>
      <c r="F26" s="14">
        <v>2</v>
      </c>
      <c r="G26" s="14"/>
      <c r="H26" s="14">
        <f t="shared" si="0"/>
        <v>85.85</v>
      </c>
      <c r="I26" s="14"/>
      <c r="J26" s="14"/>
      <c r="K26" s="14"/>
      <c r="L26" s="14"/>
      <c r="M26" s="14"/>
      <c r="N26" s="14"/>
    </row>
    <row r="27" s="8" customFormat="1" ht="20" customHeight="1" spans="1:14">
      <c r="A27" s="14">
        <v>23</v>
      </c>
      <c r="B27" s="14" t="s">
        <v>1555</v>
      </c>
      <c r="C27" s="14" t="s">
        <v>1556</v>
      </c>
      <c r="D27" s="14">
        <v>95.7</v>
      </c>
      <c r="E27" s="14" t="str">
        <f>VLOOKUP(C27,[2]Sheet2!$B$1:$J$44,9,FALSE)</f>
        <v>81.13</v>
      </c>
      <c r="F27" s="14"/>
      <c r="G27" s="14"/>
      <c r="H27" s="14">
        <f t="shared" si="0"/>
        <v>85.501</v>
      </c>
      <c r="I27" s="14"/>
      <c r="J27" s="14"/>
      <c r="K27" s="14"/>
      <c r="L27" s="14"/>
      <c r="M27" s="14"/>
      <c r="N27" s="14"/>
    </row>
    <row r="28" s="8" customFormat="1" ht="20" customHeight="1" spans="1:14">
      <c r="A28" s="14">
        <v>24</v>
      </c>
      <c r="B28" s="14" t="s">
        <v>1557</v>
      </c>
      <c r="C28" s="14" t="s">
        <v>1558</v>
      </c>
      <c r="D28" s="14">
        <v>94.3</v>
      </c>
      <c r="E28" s="14" t="str">
        <f>VLOOKUP(C28,[2]Sheet2!$B$1:$J$44,9,FALSE)</f>
        <v>81.33</v>
      </c>
      <c r="F28" s="14"/>
      <c r="G28" s="14"/>
      <c r="H28" s="14">
        <f t="shared" si="0"/>
        <v>85.221</v>
      </c>
      <c r="I28" s="14"/>
      <c r="J28" s="14"/>
      <c r="K28" s="14"/>
      <c r="L28" s="14"/>
      <c r="M28" s="14"/>
      <c r="N28" s="14"/>
    </row>
    <row r="29" s="8" customFormat="1" ht="20" customHeight="1" spans="1:14">
      <c r="A29" s="14">
        <v>25</v>
      </c>
      <c r="B29" s="14" t="s">
        <v>1559</v>
      </c>
      <c r="C29" s="14" t="s">
        <v>1560</v>
      </c>
      <c r="D29" s="14">
        <v>94.35</v>
      </c>
      <c r="E29" s="14" t="str">
        <f>VLOOKUP(C29,[2]Sheet2!$B$1:$J$44,9,FALSE)</f>
        <v>84.07</v>
      </c>
      <c r="F29" s="14"/>
      <c r="G29" s="14">
        <v>2</v>
      </c>
      <c r="H29" s="14">
        <f t="shared" si="0"/>
        <v>85.154</v>
      </c>
      <c r="I29" s="14"/>
      <c r="J29" s="14"/>
      <c r="K29" s="14"/>
      <c r="L29" s="14"/>
      <c r="M29" s="14"/>
      <c r="N29" s="14"/>
    </row>
    <row r="30" s="8" customFormat="1" ht="20" customHeight="1" spans="1:14">
      <c r="A30" s="14">
        <v>26</v>
      </c>
      <c r="B30" s="14" t="s">
        <v>1561</v>
      </c>
      <c r="C30" s="14" t="s">
        <v>1562</v>
      </c>
      <c r="D30" s="14">
        <v>93.725</v>
      </c>
      <c r="E30" s="14" t="str">
        <f>VLOOKUP(C30,[2]Sheet2!$B$1:$J$44,9,FALSE)</f>
        <v>80.73</v>
      </c>
      <c r="F30" s="14"/>
      <c r="G30" s="14"/>
      <c r="H30" s="14">
        <f t="shared" si="0"/>
        <v>84.6285</v>
      </c>
      <c r="I30" s="14"/>
      <c r="J30" s="14"/>
      <c r="K30" s="14"/>
      <c r="L30" s="14"/>
      <c r="M30" s="14"/>
      <c r="N30" s="14"/>
    </row>
    <row r="31" s="8" customFormat="1" ht="20" customHeight="1" spans="1:14">
      <c r="A31" s="14">
        <v>27</v>
      </c>
      <c r="B31" s="14" t="s">
        <v>1563</v>
      </c>
      <c r="C31" s="14" t="s">
        <v>1564</v>
      </c>
      <c r="D31" s="14">
        <v>95.35</v>
      </c>
      <c r="E31" s="14" t="str">
        <f>VLOOKUP(C31,[2]Sheet2!$B$1:$J$44,9,FALSE)</f>
        <v>78.80</v>
      </c>
      <c r="F31" s="14"/>
      <c r="G31" s="14"/>
      <c r="H31" s="14">
        <f t="shared" si="0"/>
        <v>83.765</v>
      </c>
      <c r="I31" s="14"/>
      <c r="J31" s="14"/>
      <c r="K31" s="14"/>
      <c r="L31" s="14"/>
      <c r="M31" s="14"/>
      <c r="N31" s="14"/>
    </row>
    <row r="32" s="8" customFormat="1" ht="20" customHeight="1" spans="1:14">
      <c r="A32" s="14">
        <v>28</v>
      </c>
      <c r="B32" s="14" t="s">
        <v>1565</v>
      </c>
      <c r="C32" s="14" t="s">
        <v>1566</v>
      </c>
      <c r="D32" s="14">
        <v>94.525</v>
      </c>
      <c r="E32" s="14" t="str">
        <f>VLOOKUP(C32,[2]Sheet2!$B$1:$J$44,9,FALSE)</f>
        <v>79.07</v>
      </c>
      <c r="F32" s="14"/>
      <c r="G32" s="14"/>
      <c r="H32" s="14">
        <f t="shared" si="0"/>
        <v>83.7065</v>
      </c>
      <c r="I32" s="14"/>
      <c r="J32" s="14"/>
      <c r="K32" s="14"/>
      <c r="L32" s="14"/>
      <c r="M32" s="14"/>
      <c r="N32" s="14"/>
    </row>
    <row r="33" s="8" customFormat="1" ht="20" customHeight="1" spans="1:14">
      <c r="A33" s="14">
        <v>29</v>
      </c>
      <c r="B33" s="14" t="s">
        <v>1567</v>
      </c>
      <c r="C33" s="14" t="s">
        <v>1568</v>
      </c>
      <c r="D33" s="14">
        <v>95.025</v>
      </c>
      <c r="E33" s="14" t="str">
        <f>VLOOKUP(C33,[2]Sheet2!$B$1:$J$44,9,FALSE)</f>
        <v>78.53</v>
      </c>
      <c r="F33" s="14"/>
      <c r="G33" s="14"/>
      <c r="H33" s="14">
        <f t="shared" si="0"/>
        <v>83.4785</v>
      </c>
      <c r="I33" s="14"/>
      <c r="J33" s="14"/>
      <c r="K33" s="14"/>
      <c r="L33" s="14"/>
      <c r="M33" s="14"/>
      <c r="N33" s="14"/>
    </row>
    <row r="34" s="8" customFormat="1" ht="20" customHeight="1" spans="1:14">
      <c r="A34" s="14">
        <v>30</v>
      </c>
      <c r="B34" s="14" t="s">
        <v>1569</v>
      </c>
      <c r="C34" s="14" t="s">
        <v>1570</v>
      </c>
      <c r="D34" s="14">
        <v>94.85</v>
      </c>
      <c r="E34" s="14" t="str">
        <f>VLOOKUP(C34,[2]Sheet2!$B$1:$J$44,9,FALSE)</f>
        <v>78.27</v>
      </c>
      <c r="F34" s="14"/>
      <c r="G34" s="14"/>
      <c r="H34" s="14">
        <f t="shared" si="0"/>
        <v>83.244</v>
      </c>
      <c r="I34" s="14"/>
      <c r="J34" s="14"/>
      <c r="K34" s="14"/>
      <c r="L34" s="14"/>
      <c r="M34" s="14"/>
      <c r="N34" s="14"/>
    </row>
    <row r="35" s="8" customFormat="1" ht="20" customHeight="1" spans="1:14">
      <c r="A35" s="14">
        <v>31</v>
      </c>
      <c r="B35" s="14" t="s">
        <v>1571</v>
      </c>
      <c r="C35" s="14" t="s">
        <v>1572</v>
      </c>
      <c r="D35" s="14">
        <v>93.975</v>
      </c>
      <c r="E35" s="14" t="str">
        <f>VLOOKUP(C35,[2]Sheet2!$B$1:$J$44,9,FALSE)</f>
        <v>81.20</v>
      </c>
      <c r="F35" s="14"/>
      <c r="G35" s="14">
        <v>2</v>
      </c>
      <c r="H35" s="14">
        <f t="shared" si="0"/>
        <v>83.0325</v>
      </c>
      <c r="I35" s="14"/>
      <c r="J35" s="14"/>
      <c r="K35" s="14"/>
      <c r="L35" s="14"/>
      <c r="M35" s="14"/>
      <c r="N35" s="14"/>
    </row>
    <row r="36" s="8" customFormat="1" ht="20" customHeight="1" spans="1:14">
      <c r="A36" s="14">
        <v>32</v>
      </c>
      <c r="B36" s="14" t="s">
        <v>1573</v>
      </c>
      <c r="C36" s="14" t="s">
        <v>1574</v>
      </c>
      <c r="D36" s="14">
        <v>94.175</v>
      </c>
      <c r="E36" s="14" t="str">
        <f>VLOOKUP(C36,[2]Sheet2!$B$1:$J$44,9,FALSE)</f>
        <v>77.13</v>
      </c>
      <c r="F36" s="14"/>
      <c r="G36" s="14"/>
      <c r="H36" s="14">
        <f t="shared" si="0"/>
        <v>82.2435</v>
      </c>
      <c r="I36" s="14"/>
      <c r="J36" s="14"/>
      <c r="K36" s="14"/>
      <c r="L36" s="14"/>
      <c r="M36" s="14"/>
      <c r="N36" s="14"/>
    </row>
    <row r="37" s="8" customFormat="1" ht="20" customHeight="1" spans="1:14">
      <c r="A37" s="14">
        <v>33</v>
      </c>
      <c r="B37" s="14" t="s">
        <v>1575</v>
      </c>
      <c r="C37" s="14" t="s">
        <v>1576</v>
      </c>
      <c r="D37" s="14">
        <v>94.425</v>
      </c>
      <c r="E37" s="14" t="str">
        <f>VLOOKUP(C37,[2]Sheet2!$B$1:$J$44,9,FALSE)</f>
        <v>76.73</v>
      </c>
      <c r="F37" s="14"/>
      <c r="G37" s="14"/>
      <c r="H37" s="14">
        <f t="shared" si="0"/>
        <v>82.0385</v>
      </c>
      <c r="I37" s="14"/>
      <c r="J37" s="14"/>
      <c r="K37" s="14"/>
      <c r="L37" s="14"/>
      <c r="M37" s="14"/>
      <c r="N37" s="14"/>
    </row>
    <row r="38" s="8" customFormat="1" ht="20" customHeight="1" spans="1:14">
      <c r="A38" s="14">
        <v>34</v>
      </c>
      <c r="B38" s="14" t="s">
        <v>1577</v>
      </c>
      <c r="C38" s="14" t="s">
        <v>1578</v>
      </c>
      <c r="D38" s="14">
        <v>95.075</v>
      </c>
      <c r="E38" s="14" t="str">
        <f>VLOOKUP(C38,[2]Sheet2!$B$1:$J$44,9,FALSE)</f>
        <v>74.40</v>
      </c>
      <c r="F38" s="14"/>
      <c r="G38" s="14"/>
      <c r="H38" s="14">
        <f t="shared" si="0"/>
        <v>80.6025</v>
      </c>
      <c r="I38" s="14"/>
      <c r="J38" s="14"/>
      <c r="K38" s="14"/>
      <c r="L38" s="14"/>
      <c r="M38" s="14"/>
      <c r="N38" s="14"/>
    </row>
    <row r="39" s="8" customFormat="1" ht="20" customHeight="1" spans="1:14">
      <c r="A39" s="14">
        <v>35</v>
      </c>
      <c r="B39" s="14" t="s">
        <v>1579</v>
      </c>
      <c r="C39" s="14" t="s">
        <v>1580</v>
      </c>
      <c r="D39" s="14">
        <v>95.425</v>
      </c>
      <c r="E39" s="14" t="str">
        <f>VLOOKUP(C39,[2]Sheet2!$B$1:$J$44,9,FALSE)</f>
        <v>73.07</v>
      </c>
      <c r="F39" s="14"/>
      <c r="G39" s="14"/>
      <c r="H39" s="14">
        <f t="shared" si="0"/>
        <v>79.7765</v>
      </c>
      <c r="I39" s="14"/>
      <c r="J39" s="14"/>
      <c r="K39" s="14"/>
      <c r="L39" s="14"/>
      <c r="M39" s="14"/>
      <c r="N39" s="14"/>
    </row>
    <row r="40" s="8" customFormat="1" ht="20" customHeight="1" spans="1:14">
      <c r="A40" s="14">
        <v>36</v>
      </c>
      <c r="B40" s="14" t="s">
        <v>1581</v>
      </c>
      <c r="C40" s="14" t="s">
        <v>1582</v>
      </c>
      <c r="D40" s="14">
        <v>95.1</v>
      </c>
      <c r="E40" s="14" t="str">
        <f>VLOOKUP(C40,[2]Sheet2!$B$1:$J$44,9,FALSE)</f>
        <v>73.27</v>
      </c>
      <c r="F40" s="14">
        <v>1</v>
      </c>
      <c r="G40" s="14">
        <v>2</v>
      </c>
      <c r="H40" s="14">
        <f t="shared" si="0"/>
        <v>78.819</v>
      </c>
      <c r="I40" s="14"/>
      <c r="J40" s="14"/>
      <c r="K40" s="14"/>
      <c r="L40" s="14"/>
      <c r="M40" s="14"/>
      <c r="N40" s="14"/>
    </row>
    <row r="41" s="8" customFormat="1" ht="20" customHeight="1" spans="1:14">
      <c r="A41" s="14">
        <v>37</v>
      </c>
      <c r="B41" s="14" t="s">
        <v>1583</v>
      </c>
      <c r="C41" s="14" t="s">
        <v>1584</v>
      </c>
      <c r="D41" s="14">
        <v>93.825</v>
      </c>
      <c r="E41" s="14" t="str">
        <f>VLOOKUP(C41,[2]Sheet2!$B$1:$J$44,9,FALSE)</f>
        <v>77.00</v>
      </c>
      <c r="F41" s="14"/>
      <c r="G41" s="14">
        <v>4</v>
      </c>
      <c r="H41" s="14">
        <f t="shared" si="0"/>
        <v>78.0475</v>
      </c>
      <c r="I41" s="14"/>
      <c r="J41" s="14"/>
      <c r="K41" s="14"/>
      <c r="L41" s="14"/>
      <c r="M41" s="14"/>
      <c r="N41" s="14"/>
    </row>
    <row r="42" s="8" customFormat="1" ht="20" customHeight="1" spans="1:14">
      <c r="A42" s="14">
        <v>38</v>
      </c>
      <c r="B42" s="14" t="s">
        <v>1585</v>
      </c>
      <c r="C42" s="14" t="s">
        <v>1586</v>
      </c>
      <c r="D42" s="14">
        <v>94.5</v>
      </c>
      <c r="E42" s="14" t="str">
        <f>VLOOKUP(C42,[2]Sheet2!$B$1:$J$44,9,FALSE)</f>
        <v>68.80</v>
      </c>
      <c r="F42" s="14">
        <v>1</v>
      </c>
      <c r="G42" s="14">
        <v>2</v>
      </c>
      <c r="H42" s="14">
        <f t="shared" si="0"/>
        <v>75.51</v>
      </c>
      <c r="I42" s="14"/>
      <c r="J42" s="14"/>
      <c r="K42" s="14"/>
      <c r="L42" s="14"/>
      <c r="M42" s="14"/>
      <c r="N42" s="14"/>
    </row>
    <row r="43" s="8" customFormat="1" ht="20" customHeight="1" spans="1:14">
      <c r="A43" s="14">
        <v>39</v>
      </c>
      <c r="B43" s="14" t="s">
        <v>1587</v>
      </c>
      <c r="C43" s="14" t="s">
        <v>1588</v>
      </c>
      <c r="D43" s="14">
        <v>93.525</v>
      </c>
      <c r="E43" s="14" t="str">
        <f>VLOOKUP(C43,[2]Sheet2!$B$1:$J$44,9,FALSE)</f>
        <v>73.00</v>
      </c>
      <c r="F43" s="14">
        <v>2</v>
      </c>
      <c r="G43" s="14">
        <v>8</v>
      </c>
      <c r="H43" s="14">
        <f t="shared" si="0"/>
        <v>73.1575</v>
      </c>
      <c r="I43" s="14"/>
      <c r="J43" s="14"/>
      <c r="K43" s="14"/>
      <c r="L43" s="14"/>
      <c r="M43" s="14"/>
      <c r="N43" s="14"/>
    </row>
    <row r="44" s="8" customFormat="1" ht="20" customHeight="1" spans="1:14">
      <c r="A44" s="14">
        <v>40</v>
      </c>
      <c r="B44" s="14" t="s">
        <v>1589</v>
      </c>
      <c r="C44" s="14" t="s">
        <v>1590</v>
      </c>
      <c r="D44" s="14">
        <v>94.4</v>
      </c>
      <c r="E44" s="14" t="str">
        <f>VLOOKUP(C44,[2]Sheet2!$B$1:$J$44,9,FALSE)</f>
        <v>78.53</v>
      </c>
      <c r="F44" s="14"/>
      <c r="G44" s="14">
        <v>16</v>
      </c>
      <c r="H44" s="14">
        <f t="shared" si="0"/>
        <v>67.291</v>
      </c>
      <c r="I44" s="14"/>
      <c r="J44" s="14"/>
      <c r="K44" s="14"/>
      <c r="L44" s="14"/>
      <c r="M44" s="14"/>
      <c r="N44" s="14"/>
    </row>
    <row r="45" s="8" customFormat="1" ht="20" customHeight="1" spans="1:14">
      <c r="A45" s="14">
        <v>41</v>
      </c>
      <c r="B45" s="14" t="s">
        <v>1591</v>
      </c>
      <c r="C45" s="14" t="s">
        <v>1592</v>
      </c>
      <c r="D45" s="14">
        <v>95.075</v>
      </c>
      <c r="E45" s="14" t="str">
        <f>VLOOKUP(C45,[2]Sheet2!$B$1:$J$44,9,FALSE)</f>
        <v>88.13</v>
      </c>
      <c r="F45" s="14"/>
      <c r="G45" s="14">
        <v>25</v>
      </c>
      <c r="H45" s="14">
        <f t="shared" si="0"/>
        <v>65.2135</v>
      </c>
      <c r="I45" s="14"/>
      <c r="J45" s="14"/>
      <c r="K45" s="14"/>
      <c r="L45" s="14"/>
      <c r="M45" s="14"/>
      <c r="N45" s="14"/>
    </row>
    <row r="46" s="8" customFormat="1" ht="20" customHeight="1" spans="1:14">
      <c r="A46" s="14">
        <v>42</v>
      </c>
      <c r="B46" s="14" t="s">
        <v>1593</v>
      </c>
      <c r="C46" s="14" t="s">
        <v>1594</v>
      </c>
      <c r="D46" s="14">
        <v>94.125</v>
      </c>
      <c r="E46" s="14" t="str">
        <f>VLOOKUP(C46,[2]Sheet2!$B$1:$J$44,9,FALSE)</f>
        <v>71.40</v>
      </c>
      <c r="F46" s="14"/>
      <c r="G46" s="14">
        <v>16</v>
      </c>
      <c r="H46" s="14">
        <f t="shared" si="0"/>
        <v>62.2175</v>
      </c>
      <c r="I46" s="14"/>
      <c r="J46" s="14"/>
      <c r="K46" s="14"/>
      <c r="L46" s="14"/>
      <c r="M46" s="14"/>
      <c r="N46" s="14"/>
    </row>
    <row r="47" s="8" customFormat="1" ht="20" customHeight="1" spans="1:14">
      <c r="A47" s="14">
        <v>43</v>
      </c>
      <c r="B47" s="14" t="s">
        <v>1595</v>
      </c>
      <c r="C47" s="14" t="s">
        <v>1596</v>
      </c>
      <c r="D47" s="14">
        <v>93.225</v>
      </c>
      <c r="E47" s="14" t="str">
        <f>VLOOKUP(C47,[2]Sheet2!$B$1:$J$44,9,FALSE)</f>
        <v>63.07</v>
      </c>
      <c r="F47" s="14"/>
      <c r="G47" s="14">
        <v>20</v>
      </c>
      <c r="H47" s="14">
        <f t="shared" si="0"/>
        <v>52.1165</v>
      </c>
      <c r="I47" s="14"/>
      <c r="J47" s="14"/>
      <c r="K47" s="14"/>
      <c r="L47" s="14"/>
      <c r="M47" s="14"/>
      <c r="N47" s="14"/>
    </row>
    <row r="48" spans="1:15">
      <c r="A48" s="19" t="s">
        <v>119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</row>
  </sheetData>
  <mergeCells count="4">
    <mergeCell ref="A1:N1"/>
    <mergeCell ref="A2:N2"/>
    <mergeCell ref="A3:N3"/>
    <mergeCell ref="A48:O48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"/>
  <sheetViews>
    <sheetView workbookViewId="0">
      <selection activeCell="A3" sqref="A3:N3"/>
    </sheetView>
  </sheetViews>
  <sheetFormatPr defaultColWidth="8.75" defaultRowHeight="16.8"/>
  <cols>
    <col min="2" max="2" width="18.2596153846154" customWidth="1"/>
    <col min="3" max="3" width="21.7884615384615" customWidth="1"/>
    <col min="4" max="4" width="12.8173076923077" customWidth="1"/>
    <col min="5" max="5" width="12.4903846153846" customWidth="1"/>
    <col min="6" max="6" width="14.5769230769231" customWidth="1"/>
    <col min="7" max="7" width="12.3269230769231" customWidth="1"/>
    <col min="8" max="8" width="18.2596153846154" customWidth="1"/>
    <col min="14" max="14" width="12.8173076923077" customWidth="1"/>
  </cols>
  <sheetData>
    <row r="1" ht="23" customHeight="1" spans="1:1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40" customHeight="1" spans="1:14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ht="25" customHeight="1" spans="1:14">
      <c r="A3" s="11" t="s">
        <v>1597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ht="92" customHeight="1" spans="1:14">
      <c r="A4" s="12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9</v>
      </c>
      <c r="G4" s="12" t="s">
        <v>10</v>
      </c>
      <c r="H4" s="12" t="s">
        <v>753</v>
      </c>
      <c r="I4" s="12" t="s">
        <v>12</v>
      </c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="8" customFormat="1" ht="20" customHeight="1" spans="1:14">
      <c r="A5" s="13">
        <v>1</v>
      </c>
      <c r="B5" s="13" t="s">
        <v>1598</v>
      </c>
      <c r="C5" s="13" t="s">
        <v>1599</v>
      </c>
      <c r="D5" s="13">
        <v>95.5</v>
      </c>
      <c r="E5" s="13" t="s">
        <v>1600</v>
      </c>
      <c r="F5" s="13"/>
      <c r="G5" s="13"/>
      <c r="H5" s="13">
        <f t="shared" ref="H5:H13" si="0">D5*0.3+E5*0.7+F5-G5</f>
        <v>88.57</v>
      </c>
      <c r="I5" s="13"/>
      <c r="J5" s="13"/>
      <c r="K5" s="13"/>
      <c r="L5" s="13"/>
      <c r="M5" s="13"/>
      <c r="N5" s="13" t="s">
        <v>21</v>
      </c>
    </row>
    <row r="6" s="8" customFormat="1" ht="20" customHeight="1" spans="1:14">
      <c r="A6" s="13">
        <v>2</v>
      </c>
      <c r="B6" s="13" t="s">
        <v>1601</v>
      </c>
      <c r="C6" s="13" t="s">
        <v>1602</v>
      </c>
      <c r="D6" s="13">
        <v>95.175</v>
      </c>
      <c r="E6" s="13" t="s">
        <v>1603</v>
      </c>
      <c r="F6" s="13"/>
      <c r="G6" s="13"/>
      <c r="H6" s="13">
        <f t="shared" si="0"/>
        <v>87.8215</v>
      </c>
      <c r="I6" s="13"/>
      <c r="J6" s="13"/>
      <c r="K6" s="13"/>
      <c r="L6" s="13"/>
      <c r="M6" s="13" t="s">
        <v>21</v>
      </c>
      <c r="N6" s="13"/>
    </row>
    <row r="7" s="8" customFormat="1" ht="20" customHeight="1" spans="1:14">
      <c r="A7" s="13">
        <v>3</v>
      </c>
      <c r="B7" s="13" t="s">
        <v>1604</v>
      </c>
      <c r="C7" s="13" t="s">
        <v>1605</v>
      </c>
      <c r="D7" s="13">
        <v>92.3</v>
      </c>
      <c r="E7" s="13" t="s">
        <v>1606</v>
      </c>
      <c r="F7" s="13"/>
      <c r="G7" s="13"/>
      <c r="H7" s="13">
        <f t="shared" si="0"/>
        <v>87.001</v>
      </c>
      <c r="I7" s="13"/>
      <c r="J7" s="13"/>
      <c r="K7" s="13"/>
      <c r="L7" s="13"/>
      <c r="M7" s="13" t="s">
        <v>21</v>
      </c>
      <c r="N7" s="13"/>
    </row>
    <row r="8" s="8" customFormat="1" ht="20" customHeight="1" spans="1:14">
      <c r="A8" s="13">
        <v>4</v>
      </c>
      <c r="B8" s="13" t="s">
        <v>1607</v>
      </c>
      <c r="C8" s="13" t="s">
        <v>1608</v>
      </c>
      <c r="D8" s="13">
        <v>95.1</v>
      </c>
      <c r="E8" s="13" t="s">
        <v>1609</v>
      </c>
      <c r="F8" s="13"/>
      <c r="G8" s="13"/>
      <c r="H8" s="13">
        <f t="shared" si="0"/>
        <v>85.979</v>
      </c>
      <c r="I8" s="13"/>
      <c r="J8" s="13"/>
      <c r="K8" s="13"/>
      <c r="L8" s="13"/>
      <c r="M8" s="13" t="s">
        <v>21</v>
      </c>
      <c r="N8" s="13"/>
    </row>
    <row r="9" s="8" customFormat="1" ht="20" customHeight="1" spans="1:14">
      <c r="A9" s="13">
        <v>5</v>
      </c>
      <c r="B9" s="13" t="s">
        <v>1610</v>
      </c>
      <c r="C9" s="13" t="s">
        <v>1611</v>
      </c>
      <c r="D9" s="13">
        <v>95.3</v>
      </c>
      <c r="E9" s="13" t="s">
        <v>1612</v>
      </c>
      <c r="F9" s="13"/>
      <c r="G9" s="13"/>
      <c r="H9" s="13">
        <f t="shared" si="0"/>
        <v>85.71</v>
      </c>
      <c r="I9" s="13"/>
      <c r="J9" s="13"/>
      <c r="K9" s="13"/>
      <c r="L9" s="13"/>
      <c r="M9" s="13"/>
      <c r="N9" s="13" t="s">
        <v>21</v>
      </c>
    </row>
    <row r="10" s="8" customFormat="1" ht="20" customHeight="1" spans="1:14">
      <c r="A10" s="13">
        <v>6</v>
      </c>
      <c r="B10" s="13" t="s">
        <v>1613</v>
      </c>
      <c r="C10" s="13" t="s">
        <v>1614</v>
      </c>
      <c r="D10" s="13">
        <v>94.8</v>
      </c>
      <c r="E10" s="13" t="s">
        <v>812</v>
      </c>
      <c r="F10" s="13"/>
      <c r="G10" s="13"/>
      <c r="H10" s="13">
        <f t="shared" si="0"/>
        <v>84.111</v>
      </c>
      <c r="I10" s="13"/>
      <c r="J10" s="13"/>
      <c r="K10" s="13"/>
      <c r="L10" s="13"/>
      <c r="M10" s="13" t="s">
        <v>21</v>
      </c>
      <c r="N10" s="13"/>
    </row>
    <row r="11" s="8" customFormat="1" ht="20" customHeight="1" spans="1:14">
      <c r="A11" s="13">
        <v>7</v>
      </c>
      <c r="B11" s="13" t="s">
        <v>1615</v>
      </c>
      <c r="C11" s="13" t="s">
        <v>1616</v>
      </c>
      <c r="D11" s="13">
        <v>93.9</v>
      </c>
      <c r="E11" s="13" t="s">
        <v>1617</v>
      </c>
      <c r="F11" s="13"/>
      <c r="G11" s="13"/>
      <c r="H11" s="13">
        <f t="shared" si="0"/>
        <v>83.89</v>
      </c>
      <c r="I11" s="13"/>
      <c r="J11" s="13"/>
      <c r="K11" s="13"/>
      <c r="L11" s="13"/>
      <c r="M11" s="13"/>
      <c r="N11" s="13"/>
    </row>
    <row r="12" s="8" customFormat="1" ht="20" customHeight="1" spans="1:14">
      <c r="A12" s="13">
        <v>8</v>
      </c>
      <c r="B12" s="13" t="s">
        <v>1618</v>
      </c>
      <c r="C12" s="13" t="s">
        <v>1619</v>
      </c>
      <c r="D12" s="13">
        <v>94.975</v>
      </c>
      <c r="E12" s="13" t="s">
        <v>1351</v>
      </c>
      <c r="F12" s="13"/>
      <c r="G12" s="13"/>
      <c r="H12" s="13">
        <f t="shared" si="0"/>
        <v>82.7215</v>
      </c>
      <c r="I12" s="13"/>
      <c r="J12" s="13"/>
      <c r="K12" s="13"/>
      <c r="L12" s="13"/>
      <c r="M12" s="13"/>
      <c r="N12" s="13" t="s">
        <v>21</v>
      </c>
    </row>
    <row r="13" s="8" customFormat="1" ht="20" customHeight="1" spans="1:14">
      <c r="A13" s="13">
        <v>9</v>
      </c>
      <c r="B13" s="13" t="s">
        <v>1620</v>
      </c>
      <c r="C13" s="13" t="s">
        <v>1621</v>
      </c>
      <c r="D13" s="13">
        <v>95.425</v>
      </c>
      <c r="E13" s="13" t="s">
        <v>1033</v>
      </c>
      <c r="F13" s="13"/>
      <c r="G13" s="13">
        <v>4</v>
      </c>
      <c r="H13" s="13">
        <f t="shared" si="0"/>
        <v>83.0565</v>
      </c>
      <c r="I13" s="13"/>
      <c r="J13" s="13"/>
      <c r="K13" s="13"/>
      <c r="L13" s="13"/>
      <c r="M13" s="13"/>
      <c r="N13" s="13"/>
    </row>
    <row r="14" s="8" customFormat="1" ht="20" customHeight="1" spans="1:14">
      <c r="A14" s="21">
        <v>10</v>
      </c>
      <c r="B14" s="14" t="s">
        <v>1622</v>
      </c>
      <c r="C14" s="14" t="s">
        <v>1623</v>
      </c>
      <c r="D14" s="14">
        <v>95.4</v>
      </c>
      <c r="E14" s="14" t="s">
        <v>1624</v>
      </c>
      <c r="F14" s="14"/>
      <c r="G14" s="14">
        <v>2</v>
      </c>
      <c r="H14" s="14">
        <f t="shared" ref="H14:H27" si="1">D14*0.3+E14*0.7+F14-G14</f>
        <v>82.711</v>
      </c>
      <c r="I14" s="14"/>
      <c r="J14" s="14"/>
      <c r="K14" s="14"/>
      <c r="L14" s="14"/>
      <c r="M14" s="14"/>
      <c r="N14" s="14"/>
    </row>
    <row r="15" s="8" customFormat="1" ht="20" customHeight="1" spans="1:14">
      <c r="A15" s="21">
        <v>11</v>
      </c>
      <c r="B15" s="14" t="s">
        <v>1625</v>
      </c>
      <c r="C15" s="14" t="s">
        <v>1626</v>
      </c>
      <c r="D15" s="14">
        <v>94.55</v>
      </c>
      <c r="E15" s="14" t="s">
        <v>1627</v>
      </c>
      <c r="F15" s="14"/>
      <c r="G15" s="14">
        <v>2</v>
      </c>
      <c r="H15" s="14">
        <f t="shared" si="1"/>
        <v>81.154</v>
      </c>
      <c r="I15" s="14"/>
      <c r="J15" s="14"/>
      <c r="K15" s="14"/>
      <c r="L15" s="14"/>
      <c r="M15" s="14"/>
      <c r="N15" s="14"/>
    </row>
    <row r="16" s="8" customFormat="1" ht="20" customHeight="1" spans="1:14">
      <c r="A16" s="21">
        <v>12</v>
      </c>
      <c r="B16" s="14" t="s">
        <v>1628</v>
      </c>
      <c r="C16" s="14" t="s">
        <v>1629</v>
      </c>
      <c r="D16" s="14">
        <v>95.225</v>
      </c>
      <c r="E16" s="14" t="s">
        <v>1630</v>
      </c>
      <c r="F16" s="14"/>
      <c r="G16" s="14">
        <v>6</v>
      </c>
      <c r="H16" s="14">
        <f t="shared" si="1"/>
        <v>79.8275</v>
      </c>
      <c r="I16" s="14"/>
      <c r="J16" s="14"/>
      <c r="K16" s="14"/>
      <c r="L16" s="14"/>
      <c r="M16" s="14"/>
      <c r="N16" s="14"/>
    </row>
    <row r="17" s="8" customFormat="1" ht="20" customHeight="1" spans="1:14">
      <c r="A17" s="21">
        <v>13</v>
      </c>
      <c r="B17" s="14" t="s">
        <v>1631</v>
      </c>
      <c r="C17" s="14" t="s">
        <v>1632</v>
      </c>
      <c r="D17" s="14">
        <v>94.75</v>
      </c>
      <c r="E17" s="14" t="s">
        <v>1633</v>
      </c>
      <c r="F17" s="14"/>
      <c r="G17" s="14"/>
      <c r="H17" s="14">
        <f t="shared" si="1"/>
        <v>79.476</v>
      </c>
      <c r="I17" s="14"/>
      <c r="J17" s="14"/>
      <c r="K17" s="14"/>
      <c r="L17" s="14"/>
      <c r="M17" s="14"/>
      <c r="N17" s="14"/>
    </row>
    <row r="18" s="8" customFormat="1" ht="20" customHeight="1" spans="1:14">
      <c r="A18" s="21">
        <v>14</v>
      </c>
      <c r="B18" s="14" t="s">
        <v>1634</v>
      </c>
      <c r="C18" s="14" t="s">
        <v>1635</v>
      </c>
      <c r="D18" s="14">
        <v>94.875</v>
      </c>
      <c r="E18" s="14" t="s">
        <v>1636</v>
      </c>
      <c r="F18" s="14"/>
      <c r="G18" s="14">
        <v>6</v>
      </c>
      <c r="H18" s="14">
        <f t="shared" si="1"/>
        <v>76.3135</v>
      </c>
      <c r="I18" s="14"/>
      <c r="J18" s="14"/>
      <c r="K18" s="14"/>
      <c r="L18" s="14"/>
      <c r="M18" s="14"/>
      <c r="N18" s="14"/>
    </row>
    <row r="19" s="8" customFormat="1" ht="20" customHeight="1" spans="1:14">
      <c r="A19" s="21">
        <v>15</v>
      </c>
      <c r="B19" s="14" t="s">
        <v>1637</v>
      </c>
      <c r="C19" s="14" t="s">
        <v>1638</v>
      </c>
      <c r="D19" s="14">
        <v>95.025</v>
      </c>
      <c r="E19" s="14" t="s">
        <v>525</v>
      </c>
      <c r="F19" s="14"/>
      <c r="G19" s="14">
        <v>10</v>
      </c>
      <c r="H19" s="14">
        <f t="shared" si="1"/>
        <v>73.1075</v>
      </c>
      <c r="I19" s="14"/>
      <c r="J19" s="14"/>
      <c r="K19" s="14"/>
      <c r="L19" s="14"/>
      <c r="M19" s="14"/>
      <c r="N19" s="14"/>
    </row>
    <row r="20" s="8" customFormat="1" ht="20" customHeight="1" spans="1:14">
      <c r="A20" s="21">
        <v>16</v>
      </c>
      <c r="B20" s="14" t="s">
        <v>1639</v>
      </c>
      <c r="C20" s="14" t="s">
        <v>1640</v>
      </c>
      <c r="D20" s="14">
        <v>93.75</v>
      </c>
      <c r="E20" s="14" t="s">
        <v>1641</v>
      </c>
      <c r="F20" s="14"/>
      <c r="G20" s="14">
        <v>12</v>
      </c>
      <c r="H20" s="14">
        <f t="shared" si="1"/>
        <v>72.636</v>
      </c>
      <c r="I20" s="14"/>
      <c r="J20" s="14"/>
      <c r="K20" s="14"/>
      <c r="L20" s="14"/>
      <c r="M20" s="14"/>
      <c r="N20" s="14"/>
    </row>
    <row r="21" s="8" customFormat="1" ht="20" customHeight="1" spans="1:14">
      <c r="A21" s="21">
        <v>17</v>
      </c>
      <c r="B21" s="14" t="s">
        <v>1642</v>
      </c>
      <c r="C21" s="14" t="s">
        <v>1643</v>
      </c>
      <c r="D21" s="14">
        <v>93.475</v>
      </c>
      <c r="E21" s="14" t="s">
        <v>1479</v>
      </c>
      <c r="F21" s="14"/>
      <c r="G21" s="14">
        <v>10</v>
      </c>
      <c r="H21" s="14">
        <f t="shared" si="1"/>
        <v>72.5935</v>
      </c>
      <c r="I21" s="14"/>
      <c r="J21" s="14"/>
      <c r="K21" s="14"/>
      <c r="L21" s="14"/>
      <c r="M21" s="14"/>
      <c r="N21" s="14"/>
    </row>
    <row r="22" s="8" customFormat="1" ht="20" customHeight="1" spans="1:14">
      <c r="A22" s="21">
        <v>18</v>
      </c>
      <c r="B22" s="14" t="s">
        <v>1644</v>
      </c>
      <c r="C22" s="14" t="s">
        <v>1645</v>
      </c>
      <c r="D22" s="14">
        <v>95.1</v>
      </c>
      <c r="E22" s="14" t="s">
        <v>1646</v>
      </c>
      <c r="F22" s="14"/>
      <c r="G22" s="14">
        <v>12</v>
      </c>
      <c r="H22" s="14">
        <f t="shared" si="1"/>
        <v>70.85</v>
      </c>
      <c r="I22" s="14"/>
      <c r="J22" s="14"/>
      <c r="K22" s="14"/>
      <c r="L22" s="14"/>
      <c r="M22" s="14"/>
      <c r="N22" s="14"/>
    </row>
    <row r="23" s="8" customFormat="1" ht="20" customHeight="1" spans="1:14">
      <c r="A23" s="21">
        <v>19</v>
      </c>
      <c r="B23" s="14" t="s">
        <v>1647</v>
      </c>
      <c r="C23" s="14" t="s">
        <v>1648</v>
      </c>
      <c r="D23" s="14">
        <v>94.175</v>
      </c>
      <c r="E23" s="14" t="s">
        <v>1649</v>
      </c>
      <c r="F23" s="14"/>
      <c r="G23" s="14">
        <v>18</v>
      </c>
      <c r="H23" s="14">
        <f t="shared" si="1"/>
        <v>63.5925</v>
      </c>
      <c r="I23" s="14"/>
      <c r="J23" s="14"/>
      <c r="K23" s="14"/>
      <c r="L23" s="14"/>
      <c r="M23" s="14"/>
      <c r="N23" s="14"/>
    </row>
    <row r="24" s="8" customFormat="1" ht="20" customHeight="1" spans="1:14">
      <c r="A24" s="21">
        <v>20</v>
      </c>
      <c r="B24" s="14" t="s">
        <v>1650</v>
      </c>
      <c r="C24" s="14" t="s">
        <v>1651</v>
      </c>
      <c r="D24" s="14">
        <v>95.175</v>
      </c>
      <c r="E24" s="14" t="s">
        <v>1652</v>
      </c>
      <c r="F24" s="14"/>
      <c r="G24" s="14">
        <v>22</v>
      </c>
      <c r="H24" s="14">
        <f t="shared" si="1"/>
        <v>63.4415</v>
      </c>
      <c r="I24" s="14"/>
      <c r="J24" s="14"/>
      <c r="K24" s="14"/>
      <c r="L24" s="14"/>
      <c r="M24" s="14"/>
      <c r="N24" s="14"/>
    </row>
    <row r="25" s="8" customFormat="1" ht="20" customHeight="1" spans="1:14">
      <c r="A25" s="21">
        <v>21</v>
      </c>
      <c r="B25" s="14" t="s">
        <v>1653</v>
      </c>
      <c r="C25" s="14" t="s">
        <v>1654</v>
      </c>
      <c r="D25" s="14">
        <v>92.7</v>
      </c>
      <c r="E25" s="14" t="s">
        <v>1655</v>
      </c>
      <c r="F25" s="14"/>
      <c r="G25" s="14">
        <v>16</v>
      </c>
      <c r="H25" s="14">
        <f t="shared" si="1"/>
        <v>59.179</v>
      </c>
      <c r="I25" s="14"/>
      <c r="J25" s="14"/>
      <c r="K25" s="14"/>
      <c r="L25" s="14"/>
      <c r="M25" s="14"/>
      <c r="N25" s="14"/>
    </row>
    <row r="26" s="8" customFormat="1" ht="20" customHeight="1" spans="1:14">
      <c r="A26" s="21">
        <v>22</v>
      </c>
      <c r="B26" s="14" t="s">
        <v>1656</v>
      </c>
      <c r="C26" s="14" t="s">
        <v>1657</v>
      </c>
      <c r="D26" s="14">
        <v>94.4</v>
      </c>
      <c r="E26" s="14" t="s">
        <v>1658</v>
      </c>
      <c r="F26" s="14"/>
      <c r="G26" s="14">
        <v>20</v>
      </c>
      <c r="H26" s="14">
        <f t="shared" si="1"/>
        <v>57.971</v>
      </c>
      <c r="I26" s="14"/>
      <c r="J26" s="14"/>
      <c r="K26" s="14"/>
      <c r="L26" s="14"/>
      <c r="M26" s="14"/>
      <c r="N26" s="14"/>
    </row>
    <row r="27" s="8" customFormat="1" ht="20" customHeight="1" spans="1:14">
      <c r="A27" s="21">
        <v>23</v>
      </c>
      <c r="B27" s="14" t="s">
        <v>1659</v>
      </c>
      <c r="C27" s="14" t="s">
        <v>1660</v>
      </c>
      <c r="D27" s="14">
        <v>88.85</v>
      </c>
      <c r="E27" s="14" t="s">
        <v>1661</v>
      </c>
      <c r="F27" s="14"/>
      <c r="G27" s="14">
        <v>38</v>
      </c>
      <c r="H27" s="14">
        <f t="shared" si="1"/>
        <v>32.986</v>
      </c>
      <c r="I27" s="14"/>
      <c r="J27" s="14"/>
      <c r="K27" s="14"/>
      <c r="L27" s="14"/>
      <c r="M27" s="14"/>
      <c r="N27" s="14"/>
    </row>
    <row r="28" spans="1:15">
      <c r="A28" s="19" t="s">
        <v>119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</row>
  </sheetData>
  <mergeCells count="4">
    <mergeCell ref="A1:N1"/>
    <mergeCell ref="A2:N2"/>
    <mergeCell ref="A3:N3"/>
    <mergeCell ref="A28:O28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workbookViewId="0">
      <selection activeCell="F9" sqref="F9"/>
    </sheetView>
  </sheetViews>
  <sheetFormatPr defaultColWidth="8.75" defaultRowHeight="16.8"/>
  <cols>
    <col min="2" max="2" width="20.0192307692308" customWidth="1"/>
    <col min="3" max="3" width="13.2980769230769" customWidth="1"/>
    <col min="4" max="4" width="13.7692307692308" customWidth="1"/>
    <col min="5" max="5" width="14.2596153846154" customWidth="1"/>
    <col min="6" max="6" width="13.9326923076923" customWidth="1"/>
    <col min="7" max="7" width="12.3461538461538" customWidth="1"/>
    <col min="8" max="8" width="22.2692307692308" customWidth="1"/>
    <col min="14" max="14" width="9.28846153846154" customWidth="1"/>
  </cols>
  <sheetData>
    <row r="1" spans="1:1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31" customHeight="1" spans="1:14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ht="25" customHeight="1" spans="1:14">
      <c r="A3" s="11" t="s">
        <v>1662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ht="75" customHeight="1" spans="1:14">
      <c r="A4" s="12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9</v>
      </c>
      <c r="G4" s="12" t="s">
        <v>10</v>
      </c>
      <c r="H4" s="12" t="s">
        <v>753</v>
      </c>
      <c r="I4" s="12" t="s">
        <v>12</v>
      </c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="8" customFormat="1" ht="20" customHeight="1" spans="1:14">
      <c r="A5" s="13">
        <v>1</v>
      </c>
      <c r="B5" s="13" t="s">
        <v>1663</v>
      </c>
      <c r="C5" s="13" t="s">
        <v>1664</v>
      </c>
      <c r="D5" s="13">
        <f>VLOOKUP(C5,'[3]R1'!$C$2:$J$42,8,FALSE)</f>
        <v>100</v>
      </c>
      <c r="E5" s="13" t="str">
        <f>VLOOKUP(C5,'[3]R2'!$B$2:$J$42,9,FALSE)</f>
        <v>84.59</v>
      </c>
      <c r="F5" s="13">
        <f>VLOOKUP(C5,[3]G!$C$2:$I$42,7)</f>
        <v>5.5</v>
      </c>
      <c r="G5" s="13"/>
      <c r="H5" s="13">
        <f>VLOOKUP(C5,[3]Sheet4!$B$1:$D$41,2,FALSE)</f>
        <v>94.713</v>
      </c>
      <c r="I5" s="13"/>
      <c r="J5" s="13"/>
      <c r="K5" s="13"/>
      <c r="L5" s="13"/>
      <c r="M5" s="13"/>
      <c r="N5" s="13" t="s">
        <v>21</v>
      </c>
    </row>
    <row r="6" s="8" customFormat="1" ht="20" customHeight="1" spans="1:14">
      <c r="A6" s="13">
        <v>2</v>
      </c>
      <c r="B6" s="13" t="s">
        <v>1665</v>
      </c>
      <c r="C6" s="13" t="s">
        <v>1666</v>
      </c>
      <c r="D6" s="13">
        <f>VLOOKUP(C6,'[3]R1'!$C$2:$J$42,8,FALSE)</f>
        <v>100</v>
      </c>
      <c r="E6" s="13" t="str">
        <f>VLOOKUP(C6,'[3]R2'!$B$2:$J$42,9,FALSE)</f>
        <v>83.18</v>
      </c>
      <c r="F6" s="13">
        <f>VLOOKUP(C6,[3]G!$C$2:$I$42,7)</f>
        <v>4</v>
      </c>
      <c r="G6" s="13"/>
      <c r="H6" s="13">
        <f>VLOOKUP(C6,[3]Sheet4!$B$1:$D$41,2,FALSE)</f>
        <v>92.226</v>
      </c>
      <c r="I6" s="13"/>
      <c r="J6" s="13"/>
      <c r="K6" s="13"/>
      <c r="L6" s="13"/>
      <c r="M6" s="13"/>
      <c r="N6" s="13" t="s">
        <v>21</v>
      </c>
    </row>
    <row r="7" s="8" customFormat="1" ht="20" customHeight="1" spans="1:14">
      <c r="A7" s="13">
        <v>3</v>
      </c>
      <c r="B7" s="13" t="s">
        <v>1667</v>
      </c>
      <c r="C7" s="13" t="s">
        <v>1668</v>
      </c>
      <c r="D7" s="13">
        <f>VLOOKUP(C7,'[3]R1'!$C$2:$J$42,8,FALSE)</f>
        <v>99</v>
      </c>
      <c r="E7" s="13" t="str">
        <f>VLOOKUP(C7,'[3]R2'!$B$2:$J$42,9,FALSE)</f>
        <v>88.47</v>
      </c>
      <c r="F7" s="13">
        <f>VLOOKUP(C7,[3]G!$C$2:$I$42,7)</f>
        <v>1.5</v>
      </c>
      <c r="G7" s="13"/>
      <c r="H7" s="13">
        <f>VLOOKUP(C7,[3]Sheet4!$B$1:$D$41,2,FALSE)</f>
        <v>91.629</v>
      </c>
      <c r="I7" s="13"/>
      <c r="J7" s="13"/>
      <c r="K7" s="13" t="s">
        <v>21</v>
      </c>
      <c r="L7" s="13"/>
      <c r="M7" s="13" t="s">
        <v>21</v>
      </c>
      <c r="N7" s="13"/>
    </row>
    <row r="8" s="8" customFormat="1" ht="20" customHeight="1" spans="1:14">
      <c r="A8" s="13">
        <v>4</v>
      </c>
      <c r="B8" s="13" t="s">
        <v>1669</v>
      </c>
      <c r="C8" s="13" t="s">
        <v>1670</v>
      </c>
      <c r="D8" s="13">
        <f>VLOOKUP(C8,'[3]R1'!$C$2:$J$42,8,FALSE)</f>
        <v>99</v>
      </c>
      <c r="E8" s="13" t="str">
        <f>VLOOKUP(C8,'[3]R2'!$B$2:$J$42,9,FALSE)</f>
        <v>84.00</v>
      </c>
      <c r="F8" s="13">
        <f>VLOOKUP(C8,[3]G!$C$2:$I$42,7)</f>
        <v>1.5</v>
      </c>
      <c r="G8" s="13"/>
      <c r="H8" s="13">
        <f>VLOOKUP(C8,[3]Sheet4!$B$1:$D$41,2,FALSE)</f>
        <v>91.5</v>
      </c>
      <c r="I8" s="13"/>
      <c r="J8" s="13"/>
      <c r="K8" s="13"/>
      <c r="L8" s="13"/>
      <c r="M8" s="13" t="s">
        <v>21</v>
      </c>
      <c r="N8" s="13"/>
    </row>
    <row r="9" s="8" customFormat="1" ht="20" customHeight="1" spans="1:14">
      <c r="A9" s="13">
        <v>5</v>
      </c>
      <c r="B9" s="13" t="s">
        <v>1671</v>
      </c>
      <c r="C9" s="13" t="s">
        <v>1672</v>
      </c>
      <c r="D9" s="13">
        <f>VLOOKUP(C9,'[3]R1'!$C$2:$J$42,8,FALSE)</f>
        <v>98</v>
      </c>
      <c r="E9" s="13" t="str">
        <f>VLOOKUP(C9,'[3]R2'!$B$2:$J$42,9,FALSE)</f>
        <v>86.06</v>
      </c>
      <c r="F9" s="13">
        <f>VLOOKUP(C9,[3]G!$C$2:$I$42,7)</f>
        <v>0</v>
      </c>
      <c r="G9" s="13"/>
      <c r="H9" s="13">
        <f>VLOOKUP(C9,[3]Sheet4!$B$1:$D$41,2,FALSE)</f>
        <v>91.142</v>
      </c>
      <c r="I9" s="13"/>
      <c r="J9" s="13"/>
      <c r="K9" s="13"/>
      <c r="L9" s="13"/>
      <c r="M9" s="13" t="s">
        <v>21</v>
      </c>
      <c r="N9" s="13"/>
    </row>
    <row r="10" s="8" customFormat="1" ht="20" customHeight="1" spans="1:14">
      <c r="A10" s="13">
        <v>6</v>
      </c>
      <c r="B10" s="13" t="s">
        <v>1673</v>
      </c>
      <c r="C10" s="13" t="s">
        <v>1674</v>
      </c>
      <c r="D10" s="13">
        <f>VLOOKUP(C10,'[3]R1'!$C$2:$J$42,8,FALSE)</f>
        <v>99</v>
      </c>
      <c r="E10" s="13" t="str">
        <f>VLOOKUP(C10,'[3]R2'!$B$2:$J$42,9,FALSE)</f>
        <v>85.06</v>
      </c>
      <c r="F10" s="13">
        <f>VLOOKUP(C10,[3]G!$C$2:$I$42,7)</f>
        <v>1.5</v>
      </c>
      <c r="G10" s="13"/>
      <c r="H10" s="13">
        <f>VLOOKUP(C10,[3]Sheet4!$B$1:$D$41,2,FALSE)</f>
        <v>90.742</v>
      </c>
      <c r="I10" s="13"/>
      <c r="J10" s="13"/>
      <c r="K10" s="13"/>
      <c r="L10" s="13"/>
      <c r="M10" s="13" t="s">
        <v>21</v>
      </c>
      <c r="N10" s="13"/>
    </row>
    <row r="11" s="8" customFormat="1" ht="20" customHeight="1" spans="1:14">
      <c r="A11" s="13">
        <v>7</v>
      </c>
      <c r="B11" s="13" t="s">
        <v>1675</v>
      </c>
      <c r="C11" s="13" t="s">
        <v>1676</v>
      </c>
      <c r="D11" s="13">
        <f>VLOOKUP(C11,'[3]R1'!$C$2:$J$42,8,FALSE)</f>
        <v>100</v>
      </c>
      <c r="E11" s="13" t="str">
        <f>VLOOKUP(C11,'[3]R2'!$B$2:$J$42,9,FALSE)</f>
        <v>83.82</v>
      </c>
      <c r="F11" s="13">
        <f>VLOOKUP(C11,[3]G!$C$2:$I$42,7)</f>
        <v>1.5</v>
      </c>
      <c r="G11" s="13"/>
      <c r="H11" s="13">
        <f>VLOOKUP(C11,[3]Sheet4!$B$1:$D$41,2,FALSE)</f>
        <v>90.674</v>
      </c>
      <c r="I11" s="13"/>
      <c r="J11" s="13"/>
      <c r="K11" s="13"/>
      <c r="L11" s="13"/>
      <c r="M11" s="13"/>
      <c r="N11" s="13" t="s">
        <v>21</v>
      </c>
    </row>
    <row r="12" s="8" customFormat="1" ht="20" customHeight="1" spans="1:14">
      <c r="A12" s="13">
        <v>8</v>
      </c>
      <c r="B12" s="13" t="s">
        <v>1677</v>
      </c>
      <c r="C12" s="13" t="s">
        <v>1678</v>
      </c>
      <c r="D12" s="13">
        <f>VLOOKUP(C12,'[3]R1'!$C$2:$J$42,8,FALSE)</f>
        <v>99</v>
      </c>
      <c r="E12" s="13" t="str">
        <f>VLOOKUP(C12,'[3]R2'!$B$2:$J$42,9,FALSE)</f>
        <v>86.71</v>
      </c>
      <c r="F12" s="13">
        <f>VLOOKUP(C12,[3]G!$C$2:$I$42,7)</f>
        <v>1.5</v>
      </c>
      <c r="G12" s="13"/>
      <c r="H12" s="13">
        <f>VLOOKUP(C12,[3]Sheet4!$B$1:$D$41,2,FALSE)</f>
        <v>90.397</v>
      </c>
      <c r="I12" s="13"/>
      <c r="J12" s="13"/>
      <c r="K12" s="13"/>
      <c r="L12" s="13"/>
      <c r="M12" s="13" t="s">
        <v>21</v>
      </c>
      <c r="N12" s="13"/>
    </row>
    <row r="13" s="8" customFormat="1" ht="20" customHeight="1" spans="1:14">
      <c r="A13" s="13">
        <v>9</v>
      </c>
      <c r="B13" s="13" t="s">
        <v>1677</v>
      </c>
      <c r="C13" s="13" t="s">
        <v>1679</v>
      </c>
      <c r="D13" s="13">
        <f>VLOOKUP(C13,'[3]R1'!$C$2:$J$42,8,FALSE)</f>
        <v>99</v>
      </c>
      <c r="E13" s="13" t="str">
        <f>VLOOKUP(C13,'[3]R2'!$B$2:$J$42,9,FALSE)</f>
        <v>82.35</v>
      </c>
      <c r="F13" s="13">
        <f>VLOOKUP(C13,[3]G!$C$2:$I$42,7)</f>
        <v>3</v>
      </c>
      <c r="G13" s="13"/>
      <c r="H13" s="13">
        <f>VLOOKUP(C13,[3]Sheet4!$B$1:$D$41,2,FALSE)</f>
        <v>90.345</v>
      </c>
      <c r="I13" s="13"/>
      <c r="J13" s="13"/>
      <c r="K13" s="13"/>
      <c r="L13" s="13"/>
      <c r="M13" s="13"/>
      <c r="N13" s="13" t="s">
        <v>21</v>
      </c>
    </row>
    <row r="14" s="8" customFormat="1" ht="20" customHeight="1" spans="1:14">
      <c r="A14" s="13">
        <v>10</v>
      </c>
      <c r="B14" s="13" t="s">
        <v>1680</v>
      </c>
      <c r="C14" s="13" t="s">
        <v>1681</v>
      </c>
      <c r="D14" s="13">
        <f>VLOOKUP(C14,'[3]R1'!$C$2:$J$42,8,FALSE)</f>
        <v>97</v>
      </c>
      <c r="E14" s="13" t="str">
        <f>VLOOKUP(C14,'[3]R2'!$B$2:$J$42,9,FALSE)</f>
        <v>83.71</v>
      </c>
      <c r="F14" s="13">
        <f>VLOOKUP(C14,[3]G!$C$2:$I$42,7)</f>
        <v>2.5</v>
      </c>
      <c r="G14" s="13"/>
      <c r="H14" s="13">
        <f>VLOOKUP(C14,[3]Sheet4!$B$1:$D$41,2,FALSE)</f>
        <v>90.197</v>
      </c>
      <c r="I14" s="13"/>
      <c r="J14" s="13"/>
      <c r="K14" s="13"/>
      <c r="L14" s="13"/>
      <c r="M14" s="13" t="s">
        <v>21</v>
      </c>
      <c r="N14" s="13"/>
    </row>
    <row r="15" s="8" customFormat="1" ht="20" customHeight="1" spans="1:14">
      <c r="A15" s="13">
        <v>11</v>
      </c>
      <c r="B15" s="13" t="s">
        <v>1682</v>
      </c>
      <c r="C15" s="13" t="s">
        <v>1683</v>
      </c>
      <c r="D15" s="13">
        <f>VLOOKUP(C15,'[3]R1'!$C$2:$J$42,8,FALSE)</f>
        <v>99</v>
      </c>
      <c r="E15" s="13" t="str">
        <f>VLOOKUP(C15,'[3]R2'!$B$2:$J$42,9,FALSE)</f>
        <v>86.24</v>
      </c>
      <c r="F15" s="13">
        <f>VLOOKUP(C15,[3]G!$C$2:$I$42,7)</f>
        <v>4</v>
      </c>
      <c r="G15" s="13"/>
      <c r="H15" s="13">
        <f>VLOOKUP(C15,[3]Sheet4!$B$1:$D$41,2,FALSE)</f>
        <v>90.068</v>
      </c>
      <c r="I15" s="13"/>
      <c r="J15" s="13"/>
      <c r="K15" s="13"/>
      <c r="L15" s="13"/>
      <c r="M15" s="13"/>
      <c r="N15" s="13"/>
    </row>
    <row r="16" s="8" customFormat="1" ht="20" customHeight="1" spans="1:14">
      <c r="A16" s="13">
        <v>12</v>
      </c>
      <c r="B16" s="13" t="s">
        <v>1684</v>
      </c>
      <c r="C16" s="13" t="s">
        <v>1685</v>
      </c>
      <c r="D16" s="13">
        <f>VLOOKUP(C16,'[3]R1'!$C$2:$J$42,8,FALSE)</f>
        <v>100</v>
      </c>
      <c r="E16" s="13" t="str">
        <f>VLOOKUP(C16,'[3]R2'!$B$2:$J$42,9,FALSE)</f>
        <v>84.35</v>
      </c>
      <c r="F16" s="13">
        <f>VLOOKUP(C16,[3]G!$C$2:$I$42,7)</f>
        <v>1</v>
      </c>
      <c r="G16" s="13"/>
      <c r="H16" s="13">
        <f>VLOOKUP(C16,[3]Sheet4!$B$1:$D$41,2,FALSE)</f>
        <v>90.045</v>
      </c>
      <c r="I16" s="13"/>
      <c r="J16" s="13"/>
      <c r="K16" s="13"/>
      <c r="L16" s="13"/>
      <c r="M16" s="13"/>
      <c r="N16" s="13"/>
    </row>
    <row r="17" s="8" customFormat="1" ht="20" customHeight="1" spans="1:14">
      <c r="A17" s="13">
        <v>13</v>
      </c>
      <c r="B17" s="13" t="s">
        <v>1686</v>
      </c>
      <c r="C17" s="13" t="s">
        <v>1687</v>
      </c>
      <c r="D17" s="13">
        <f>VLOOKUP(C17,'[3]R1'!$C$2:$J$42,8,FALSE)</f>
        <v>98</v>
      </c>
      <c r="E17" s="13" t="str">
        <f>VLOOKUP(C17,'[3]R2'!$B$2:$J$42,9,FALSE)</f>
        <v>82.71</v>
      </c>
      <c r="F17" s="13">
        <f>VLOOKUP(C17,[3]G!$C$2:$I$42,7)</f>
        <v>2.5</v>
      </c>
      <c r="G17" s="13"/>
      <c r="H17" s="13">
        <f>VLOOKUP(C17,[3]Sheet4!$B$1:$D$41,2,FALSE)</f>
        <v>89.797</v>
      </c>
      <c r="I17" s="13"/>
      <c r="J17" s="13"/>
      <c r="K17" s="13"/>
      <c r="L17" s="13"/>
      <c r="M17" s="13"/>
      <c r="N17" s="13"/>
    </row>
    <row r="18" s="8" customFormat="1" ht="20" customHeight="1" spans="1:14">
      <c r="A18" s="13">
        <v>14</v>
      </c>
      <c r="B18" s="13" t="s">
        <v>1688</v>
      </c>
      <c r="C18" s="13" t="s">
        <v>1689</v>
      </c>
      <c r="D18" s="13">
        <f>VLOOKUP(C18,'[3]R1'!$C$2:$J$42,8,FALSE)</f>
        <v>97</v>
      </c>
      <c r="E18" s="13" t="str">
        <f>VLOOKUP(C18,'[3]R2'!$B$2:$J$42,9,FALSE)</f>
        <v>86.47</v>
      </c>
      <c r="F18" s="13">
        <f>VLOOKUP(C18,[3]G!$C$2:$I$42,7)</f>
        <v>0</v>
      </c>
      <c r="G18" s="13"/>
      <c r="H18" s="13">
        <f>VLOOKUP(C18,[3]Sheet4!$B$1:$D$41,2,FALSE)</f>
        <v>89.629</v>
      </c>
      <c r="I18" s="13"/>
      <c r="J18" s="13"/>
      <c r="K18" s="13"/>
      <c r="L18" s="13"/>
      <c r="M18" s="13"/>
      <c r="N18" s="13"/>
    </row>
    <row r="19" s="8" customFormat="1" ht="20" customHeight="1" spans="1:14">
      <c r="A19" s="13">
        <v>15</v>
      </c>
      <c r="B19" s="13" t="s">
        <v>1690</v>
      </c>
      <c r="C19" s="13" t="s">
        <v>1691</v>
      </c>
      <c r="D19" s="13">
        <f>VLOOKUP(C19,'[3]R1'!$C$2:$J$42,8,FALSE)</f>
        <v>99</v>
      </c>
      <c r="E19" s="13" t="str">
        <f>VLOOKUP(C19,'[3]R2'!$B$2:$J$42,9,FALSE)</f>
        <v>85.35</v>
      </c>
      <c r="F19" s="13">
        <f>VLOOKUP(C19,[3]G!$C$2:$I$42,7)</f>
        <v>3</v>
      </c>
      <c r="G19" s="13"/>
      <c r="H19" s="13">
        <f>VLOOKUP(C19,[3]Sheet4!$B$1:$D$41,2,FALSE)</f>
        <v>89.445</v>
      </c>
      <c r="I19" s="13"/>
      <c r="J19" s="13"/>
      <c r="K19" s="13"/>
      <c r="L19" s="13"/>
      <c r="M19" s="13"/>
      <c r="N19" s="13"/>
    </row>
    <row r="20" s="8" customFormat="1" ht="20" customHeight="1" spans="1:14">
      <c r="A20" s="13">
        <v>16</v>
      </c>
      <c r="B20" s="13" t="s">
        <v>1692</v>
      </c>
      <c r="C20" s="13" t="s">
        <v>1693</v>
      </c>
      <c r="D20" s="13">
        <f>VLOOKUP(C20,'[3]R1'!$C$2:$J$42,8,FALSE)</f>
        <v>98</v>
      </c>
      <c r="E20" s="13" t="str">
        <f>VLOOKUP(C20,'[3]R2'!$B$2:$J$42,9,FALSE)</f>
        <v>85.76</v>
      </c>
      <c r="F20" s="13">
        <f>VLOOKUP(C20,[3]G!$C$2:$I$42,7)</f>
        <v>1.5</v>
      </c>
      <c r="G20" s="13"/>
      <c r="H20" s="13">
        <f>VLOOKUP(C20,[3]Sheet4!$B$1:$D$41,2,FALSE)</f>
        <v>89.432</v>
      </c>
      <c r="I20" s="13"/>
      <c r="J20" s="13"/>
      <c r="K20" s="13"/>
      <c r="L20" s="13"/>
      <c r="M20" s="13"/>
      <c r="N20" s="13"/>
    </row>
    <row r="21" s="8" customFormat="1" ht="20" customHeight="1" spans="1:14">
      <c r="A21" s="14">
        <v>17</v>
      </c>
      <c r="B21" s="14" t="s">
        <v>1694</v>
      </c>
      <c r="C21" s="14" t="s">
        <v>1695</v>
      </c>
      <c r="D21" s="14">
        <f>VLOOKUP(C21,'[3]R1'!$C$2:$J$42,8,FALSE)</f>
        <v>99</v>
      </c>
      <c r="E21" s="14" t="str">
        <f>VLOOKUP(C21,'[3]R2'!$B$2:$J$42,9,FALSE)</f>
        <v>85.18</v>
      </c>
      <c r="F21" s="14">
        <f>VLOOKUP(C21,[3]G!$C$2:$I$42,7)</f>
        <v>2.5</v>
      </c>
      <c r="G21" s="14"/>
      <c r="H21" s="14">
        <f>VLOOKUP(C21,[3]Sheet4!$B$1:$D$41,2,FALSE)</f>
        <v>89.326</v>
      </c>
      <c r="I21" s="14"/>
      <c r="J21" s="14"/>
      <c r="K21" s="14"/>
      <c r="L21" s="14"/>
      <c r="M21" s="14"/>
      <c r="N21" s="14"/>
    </row>
    <row r="22" s="8" customFormat="1" ht="20" customHeight="1" spans="1:14">
      <c r="A22" s="14">
        <v>18</v>
      </c>
      <c r="B22" s="14" t="s">
        <v>1696</v>
      </c>
      <c r="C22" s="14" t="s">
        <v>1697</v>
      </c>
      <c r="D22" s="14">
        <f>VLOOKUP(C22,'[3]R1'!$C$2:$J$42,8,FALSE)</f>
        <v>99</v>
      </c>
      <c r="E22" s="14" t="str">
        <f>VLOOKUP(C22,'[3]R2'!$B$2:$J$42,9,FALSE)</f>
        <v>82.76</v>
      </c>
      <c r="F22" s="14">
        <f>VLOOKUP(C22,[3]G!$C$2:$I$42,7)</f>
        <v>1.5</v>
      </c>
      <c r="G22" s="14"/>
      <c r="H22" s="14">
        <f>VLOOKUP(C22,[3]Sheet4!$B$1:$D$41,2,FALSE)</f>
        <v>89.132</v>
      </c>
      <c r="I22" s="14"/>
      <c r="J22" s="14"/>
      <c r="K22" s="14"/>
      <c r="L22" s="14"/>
      <c r="M22" s="14"/>
      <c r="N22" s="14"/>
    </row>
    <row r="23" s="8" customFormat="1" ht="20" customHeight="1" spans="1:14">
      <c r="A23" s="14">
        <v>19</v>
      </c>
      <c r="B23" s="14" t="s">
        <v>1698</v>
      </c>
      <c r="C23" s="14" t="s">
        <v>1699</v>
      </c>
      <c r="D23" s="14">
        <v>100</v>
      </c>
      <c r="E23" s="14">
        <v>82.12</v>
      </c>
      <c r="F23" s="14">
        <f>VLOOKUP(C23,[3]G!$C$2:$I$42,7)</f>
        <v>1.5</v>
      </c>
      <c r="G23" s="14"/>
      <c r="H23" s="14">
        <v>88.984</v>
      </c>
      <c r="I23" s="14"/>
      <c r="J23" s="14"/>
      <c r="K23" s="14"/>
      <c r="L23" s="14"/>
      <c r="M23" s="14"/>
      <c r="N23" s="14"/>
    </row>
    <row r="24" s="8" customFormat="1" ht="20" customHeight="1" spans="1:14">
      <c r="A24" s="14">
        <v>20</v>
      </c>
      <c r="B24" s="14" t="s">
        <v>1700</v>
      </c>
      <c r="C24" s="14" t="s">
        <v>1701</v>
      </c>
      <c r="D24" s="14">
        <f>VLOOKUP(C24,'[3]R1'!$C$2:$J$42,8,FALSE)</f>
        <v>98</v>
      </c>
      <c r="E24" s="14" t="str">
        <f>VLOOKUP(C24,'[3]R2'!$B$2:$J$42,9,FALSE)</f>
        <v>84.29</v>
      </c>
      <c r="F24" s="14">
        <f>VLOOKUP(C24,[3]G!$C$2:$I$42,7)</f>
        <v>2.5</v>
      </c>
      <c r="G24" s="14"/>
      <c r="H24" s="14">
        <f>VLOOKUP(C24,[3]Sheet4!$B$1:$D$41,2,FALSE)</f>
        <v>88.403</v>
      </c>
      <c r="I24" s="14"/>
      <c r="J24" s="14"/>
      <c r="K24" s="14"/>
      <c r="L24" s="14"/>
      <c r="M24" s="14"/>
      <c r="N24" s="14"/>
    </row>
    <row r="25" s="8" customFormat="1" ht="20" customHeight="1" spans="1:14">
      <c r="A25" s="14">
        <v>21</v>
      </c>
      <c r="B25" s="14" t="s">
        <v>1702</v>
      </c>
      <c r="C25" s="14" t="s">
        <v>1703</v>
      </c>
      <c r="D25" s="14">
        <f>VLOOKUP(C25,'[3]R1'!$C$2:$J$42,8,FALSE)</f>
        <v>100</v>
      </c>
      <c r="E25" s="14" t="str">
        <f>VLOOKUP(C25,'[3]R2'!$B$2:$J$42,9,FALSE)</f>
        <v>81.41</v>
      </c>
      <c r="F25" s="14">
        <f>VLOOKUP(C25,[3]G!$C$2:$I$42,7)</f>
        <v>3</v>
      </c>
      <c r="G25" s="14"/>
      <c r="H25" s="14">
        <f>VLOOKUP(C25,[3]Sheet4!$B$1:$D$41,2,FALSE)</f>
        <v>87.987</v>
      </c>
      <c r="I25" s="14"/>
      <c r="J25" s="14"/>
      <c r="K25" s="14"/>
      <c r="L25" s="14"/>
      <c r="M25" s="14"/>
      <c r="N25" s="14"/>
    </row>
    <row r="26" s="8" customFormat="1" ht="20" customHeight="1" spans="1:14">
      <c r="A26" s="14">
        <v>22</v>
      </c>
      <c r="B26" s="14" t="s">
        <v>1704</v>
      </c>
      <c r="C26" s="14" t="s">
        <v>1705</v>
      </c>
      <c r="D26" s="14">
        <f>VLOOKUP(C26,'[3]R1'!$C$2:$J$42,8,FALSE)</f>
        <v>99</v>
      </c>
      <c r="E26" s="14" t="str">
        <f>VLOOKUP(C26,'[3]R2'!$B$2:$J$42,9,FALSE)</f>
        <v>83.94</v>
      </c>
      <c r="F26" s="14">
        <f>VLOOKUP(C26,[3]G!$C$2:$I$42,7)</f>
        <v>1.5</v>
      </c>
      <c r="G26" s="14">
        <f>VLOOKUP(C26,[3]H!$H$2:$O$11,8,FALSE)</f>
        <v>2</v>
      </c>
      <c r="H26" s="14">
        <f>VLOOKUP(C26,[3]Sheet4!$B$1:$D$41,2,FALSE)</f>
        <v>87.958</v>
      </c>
      <c r="I26" s="14"/>
      <c r="J26" s="14"/>
      <c r="K26" s="14"/>
      <c r="L26" s="14"/>
      <c r="M26" s="14"/>
      <c r="N26" s="14"/>
    </row>
    <row r="27" s="8" customFormat="1" ht="20" customHeight="1" spans="1:14">
      <c r="A27" s="14">
        <v>23</v>
      </c>
      <c r="B27" s="14" t="s">
        <v>1706</v>
      </c>
      <c r="C27" s="14" t="s">
        <v>1707</v>
      </c>
      <c r="D27" s="14">
        <f>VLOOKUP(C27,'[3]R1'!$C$2:$J$42,8,FALSE)</f>
        <v>100</v>
      </c>
      <c r="E27" s="14" t="str">
        <f>VLOOKUP(C27,'[3]R2'!$B$2:$J$42,9,FALSE)</f>
        <v>81.12</v>
      </c>
      <c r="F27" s="14">
        <f>VLOOKUP(C27,[3]G!$C$2:$I$42,7)</f>
        <v>4</v>
      </c>
      <c r="G27" s="14"/>
      <c r="H27" s="14">
        <f>VLOOKUP(C27,[3]Sheet4!$B$1:$D$41,2,FALSE)</f>
        <v>87.784</v>
      </c>
      <c r="I27" s="14"/>
      <c r="J27" s="14"/>
      <c r="K27" s="14"/>
      <c r="L27" s="14"/>
      <c r="M27" s="14"/>
      <c r="N27" s="14"/>
    </row>
    <row r="28" s="8" customFormat="1" ht="20" customHeight="1" spans="1:14">
      <c r="A28" s="14">
        <v>24</v>
      </c>
      <c r="B28" s="14" t="s">
        <v>1708</v>
      </c>
      <c r="C28" s="14" t="s">
        <v>1709</v>
      </c>
      <c r="D28" s="14">
        <f>VLOOKUP(C28,'[3]R1'!$C$2:$J$42,8,FALSE)</f>
        <v>97</v>
      </c>
      <c r="E28" s="14" t="str">
        <f>VLOOKUP(C28,'[3]R2'!$B$2:$J$42,9,FALSE)</f>
        <v>81.53</v>
      </c>
      <c r="F28" s="14">
        <f>VLOOKUP(C28,[3]G!$C$2:$I$42,7)</f>
        <v>1.5</v>
      </c>
      <c r="G28" s="14"/>
      <c r="H28" s="14">
        <f>VLOOKUP(C28,[3]Sheet4!$B$1:$D$41,2,FALSE)</f>
        <v>87.671</v>
      </c>
      <c r="I28" s="14"/>
      <c r="J28" s="14"/>
      <c r="K28" s="14"/>
      <c r="L28" s="14"/>
      <c r="M28" s="14"/>
      <c r="N28" s="14"/>
    </row>
    <row r="29" s="8" customFormat="1" ht="20" customHeight="1" spans="1:14">
      <c r="A29" s="14">
        <v>25</v>
      </c>
      <c r="B29" s="14" t="s">
        <v>1710</v>
      </c>
      <c r="C29" s="14" t="s">
        <v>1711</v>
      </c>
      <c r="D29" s="14">
        <f>VLOOKUP(C29,'[3]R1'!$C$2:$J$42,8,FALSE)</f>
        <v>96</v>
      </c>
      <c r="E29" s="14" t="str">
        <f>VLOOKUP(C29,'[3]R2'!$B$2:$J$42,9,FALSE)</f>
        <v>79.59</v>
      </c>
      <c r="F29" s="14">
        <f>VLOOKUP(C29,[3]G!$C$2:$I$42,7)</f>
        <v>3</v>
      </c>
      <c r="G29" s="14"/>
      <c r="H29" s="14">
        <f>VLOOKUP(C29,[3]Sheet4!$B$1:$D$41,2,FALSE)</f>
        <v>87.513</v>
      </c>
      <c r="I29" s="14"/>
      <c r="J29" s="14"/>
      <c r="K29" s="14"/>
      <c r="L29" s="14"/>
      <c r="M29" s="14"/>
      <c r="N29" s="14"/>
    </row>
    <row r="30" s="8" customFormat="1" ht="20" customHeight="1" spans="1:14">
      <c r="A30" s="14">
        <v>26</v>
      </c>
      <c r="B30" s="14" t="s">
        <v>1712</v>
      </c>
      <c r="C30" s="14" t="s">
        <v>1713</v>
      </c>
      <c r="D30" s="14">
        <f>VLOOKUP(C30,'[3]R1'!$C$2:$J$42,8,FALSE)</f>
        <v>98</v>
      </c>
      <c r="E30" s="14" t="str">
        <f>VLOOKUP(C30,'[3]R2'!$B$2:$J$42,9,FALSE)</f>
        <v>80.65</v>
      </c>
      <c r="F30" s="14">
        <f>VLOOKUP(C30,[3]G!$C$2:$I$42,7)</f>
        <v>1.5</v>
      </c>
      <c r="G30" s="14"/>
      <c r="H30" s="14">
        <f>VLOOKUP(C30,[3]Sheet4!$B$1:$D$41,2,FALSE)</f>
        <v>87.355</v>
      </c>
      <c r="I30" s="14"/>
      <c r="J30" s="14"/>
      <c r="K30" s="14"/>
      <c r="L30" s="14"/>
      <c r="M30" s="14"/>
      <c r="N30" s="14"/>
    </row>
    <row r="31" s="8" customFormat="1" ht="20" customHeight="1" spans="1:14">
      <c r="A31" s="14">
        <v>27</v>
      </c>
      <c r="B31" s="14" t="s">
        <v>1714</v>
      </c>
      <c r="C31" s="14" t="s">
        <v>1715</v>
      </c>
      <c r="D31" s="14">
        <f>VLOOKUP(C31,'[3]R1'!$C$2:$J$42,8,FALSE)</f>
        <v>97</v>
      </c>
      <c r="E31" s="14" t="str">
        <f>VLOOKUP(C31,'[3]R2'!$B$2:$J$42,9,FALSE)</f>
        <v>80.88</v>
      </c>
      <c r="F31" s="14">
        <f>VLOOKUP(C31,[3]G!$C$2:$I$42,7)</f>
        <v>1.5</v>
      </c>
      <c r="G31" s="14"/>
      <c r="H31" s="14">
        <f>VLOOKUP(C31,[3]Sheet4!$B$1:$D$41,2,FALSE)</f>
        <v>87.216</v>
      </c>
      <c r="I31" s="14"/>
      <c r="J31" s="14"/>
      <c r="K31" s="14"/>
      <c r="L31" s="14"/>
      <c r="M31" s="14"/>
      <c r="N31" s="14"/>
    </row>
    <row r="32" s="8" customFormat="1" ht="20" customHeight="1" spans="1:14">
      <c r="A32" s="14">
        <v>28</v>
      </c>
      <c r="B32" s="14" t="s">
        <v>1716</v>
      </c>
      <c r="C32" s="14" t="s">
        <v>1717</v>
      </c>
      <c r="D32" s="14">
        <f>VLOOKUP(C32,'[3]R1'!$C$2:$J$42,8,FALSE)</f>
        <v>100</v>
      </c>
      <c r="E32" s="14" t="str">
        <f>VLOOKUP(C32,'[3]R2'!$B$2:$J$42,9,FALSE)</f>
        <v>80.00</v>
      </c>
      <c r="F32" s="14">
        <f>VLOOKUP(C32,[3]G!$C$2:$I$42,7)</f>
        <v>1</v>
      </c>
      <c r="G32" s="14"/>
      <c r="H32" s="14">
        <f>VLOOKUP(C32,[3]Sheet4!$B$1:$D$41,2,FALSE)</f>
        <v>87</v>
      </c>
      <c r="I32" s="14"/>
      <c r="J32" s="14"/>
      <c r="K32" s="14"/>
      <c r="L32" s="14"/>
      <c r="M32" s="14"/>
      <c r="N32" s="14"/>
    </row>
    <row r="33" s="8" customFormat="1" ht="20" customHeight="1" spans="1:14">
      <c r="A33" s="14">
        <v>29</v>
      </c>
      <c r="B33" s="14" t="s">
        <v>1718</v>
      </c>
      <c r="C33" s="14" t="s">
        <v>1719</v>
      </c>
      <c r="D33" s="14">
        <f>VLOOKUP(C33,'[3]R1'!$C$2:$J$42,8,FALSE)</f>
        <v>99</v>
      </c>
      <c r="E33" s="14" t="str">
        <f>VLOOKUP(C33,'[3]R2'!$B$2:$J$42,9,FALSE)</f>
        <v>80.24</v>
      </c>
      <c r="F33" s="14">
        <f>VLOOKUP(C33,[3]G!$C$2:$I$42,7)</f>
        <v>1.5</v>
      </c>
      <c r="G33" s="14"/>
      <c r="H33" s="14">
        <f>VLOOKUP(C33,[3]Sheet4!$B$1:$D$41,2,FALSE)</f>
        <v>86.868</v>
      </c>
      <c r="I33" s="14"/>
      <c r="J33" s="14"/>
      <c r="K33" s="14"/>
      <c r="L33" s="14"/>
      <c r="M33" s="14"/>
      <c r="N33" s="14"/>
    </row>
    <row r="34" s="8" customFormat="1" ht="20" customHeight="1" spans="1:14">
      <c r="A34" s="14">
        <v>30</v>
      </c>
      <c r="B34" s="14" t="s">
        <v>1720</v>
      </c>
      <c r="C34" s="14" t="s">
        <v>1721</v>
      </c>
      <c r="D34" s="14">
        <f>VLOOKUP(C34,'[3]R1'!$C$2:$J$42,8,FALSE)</f>
        <v>96</v>
      </c>
      <c r="E34" s="14" t="str">
        <f>VLOOKUP(C34,'[3]R2'!$B$2:$J$42,9,FALSE)</f>
        <v>78.41</v>
      </c>
      <c r="F34" s="14">
        <f>VLOOKUP(C34,[3]G!$C$2:$I$42,7)</f>
        <v>3</v>
      </c>
      <c r="G34" s="14"/>
      <c r="H34" s="14">
        <f>VLOOKUP(C34,[3]Sheet4!$B$1:$D$41,2,FALSE)</f>
        <v>86.687</v>
      </c>
      <c r="I34" s="14"/>
      <c r="J34" s="14"/>
      <c r="K34" s="14"/>
      <c r="L34" s="14"/>
      <c r="M34" s="14"/>
      <c r="N34" s="14"/>
    </row>
    <row r="35" s="8" customFormat="1" ht="20" customHeight="1" spans="1:14">
      <c r="A35" s="14">
        <v>31</v>
      </c>
      <c r="B35" s="14" t="s">
        <v>1722</v>
      </c>
      <c r="C35" s="14" t="s">
        <v>1723</v>
      </c>
      <c r="D35" s="14">
        <f>VLOOKUP(C35,'[3]R1'!$C$2:$J$42,8,FALSE)</f>
        <v>99</v>
      </c>
      <c r="E35" s="14" t="str">
        <f>VLOOKUP(C35,'[3]R2'!$B$2:$J$42,9,FALSE)</f>
        <v>79.06</v>
      </c>
      <c r="F35" s="14">
        <f>VLOOKUP(C35,[3]G!$C$2:$I$42,7)</f>
        <v>1.5</v>
      </c>
      <c r="G35" s="14"/>
      <c r="H35" s="14">
        <f>VLOOKUP(C35,[3]Sheet4!$B$1:$D$41,2,FALSE)</f>
        <v>86.542</v>
      </c>
      <c r="I35" s="14"/>
      <c r="J35" s="14"/>
      <c r="K35" s="14"/>
      <c r="L35" s="14"/>
      <c r="M35" s="14"/>
      <c r="N35" s="14"/>
    </row>
    <row r="36" s="8" customFormat="1" ht="20" customHeight="1" spans="1:14">
      <c r="A36" s="14">
        <v>32</v>
      </c>
      <c r="B36" s="14" t="s">
        <v>1724</v>
      </c>
      <c r="C36" s="14" t="s">
        <v>1725</v>
      </c>
      <c r="D36" s="14">
        <f>VLOOKUP(C36,'[3]R1'!$C$2:$J$42,8,FALSE)</f>
        <v>97</v>
      </c>
      <c r="E36" s="14" t="str">
        <f>VLOOKUP(C36,'[3]R2'!$B$2:$J$42,9,FALSE)</f>
        <v>82.00</v>
      </c>
      <c r="F36" s="14">
        <f>VLOOKUP(C36,[3]G!$C$2:$I$42,7)</f>
        <v>0</v>
      </c>
      <c r="G36" s="14"/>
      <c r="H36" s="14">
        <f>VLOOKUP(C36,[3]Sheet4!$B$1:$D$41,2,FALSE)</f>
        <v>86.5</v>
      </c>
      <c r="I36" s="14"/>
      <c r="J36" s="14"/>
      <c r="K36" s="14"/>
      <c r="L36" s="14"/>
      <c r="M36" s="14"/>
      <c r="N36" s="14"/>
    </row>
    <row r="37" s="8" customFormat="1" ht="20" customHeight="1" spans="1:14">
      <c r="A37" s="14">
        <v>33</v>
      </c>
      <c r="B37" s="14" t="s">
        <v>1726</v>
      </c>
      <c r="C37" s="14" t="s">
        <v>1727</v>
      </c>
      <c r="D37" s="14">
        <f>VLOOKUP(C37,'[3]R1'!$C$2:$J$42,8,FALSE)</f>
        <v>98</v>
      </c>
      <c r="E37" s="14" t="str">
        <f>VLOOKUP(C37,'[3]R2'!$B$2:$J$42,9,FALSE)</f>
        <v>79.88</v>
      </c>
      <c r="F37" s="14">
        <f>VLOOKUP(C37,[3]G!$C$2:$I$42,7)</f>
        <v>2.5</v>
      </c>
      <c r="G37" s="14"/>
      <c r="H37" s="14">
        <f>VLOOKUP(C37,[3]Sheet4!$B$1:$D$41,2,FALSE)</f>
        <v>85.316</v>
      </c>
      <c r="I37" s="14"/>
      <c r="J37" s="14"/>
      <c r="K37" s="14"/>
      <c r="L37" s="14"/>
      <c r="M37" s="14"/>
      <c r="N37" s="14"/>
    </row>
    <row r="38" s="8" customFormat="1" ht="20" customHeight="1" spans="1:14">
      <c r="A38" s="14">
        <v>34</v>
      </c>
      <c r="B38" s="14" t="s">
        <v>1728</v>
      </c>
      <c r="C38" s="14" t="s">
        <v>1729</v>
      </c>
      <c r="D38" s="14">
        <f>VLOOKUP(C38,'[3]R1'!$C$2:$J$42,8,FALSE)</f>
        <v>99</v>
      </c>
      <c r="E38" s="14" t="str">
        <f>VLOOKUP(C38,'[3]R2'!$B$2:$J$42,9,FALSE)</f>
        <v>79.82</v>
      </c>
      <c r="F38" s="14">
        <f>VLOOKUP(C38,[3]G!$C$2:$I$42,7)</f>
        <v>1</v>
      </c>
      <c r="G38" s="14">
        <f>VLOOKUP(C38,[3]H!$H$2:$O$11,8,FALSE)</f>
        <v>2</v>
      </c>
      <c r="H38" s="14">
        <f>VLOOKUP(C38,[3]Sheet4!$B$1:$D$41,2,FALSE)</f>
        <v>85.074</v>
      </c>
      <c r="I38" s="14"/>
      <c r="J38" s="14"/>
      <c r="K38" s="14"/>
      <c r="L38" s="14"/>
      <c r="M38" s="14"/>
      <c r="N38" s="14"/>
    </row>
    <row r="39" s="8" customFormat="1" ht="20" customHeight="1" spans="1:14">
      <c r="A39" s="14">
        <v>35</v>
      </c>
      <c r="B39" s="14" t="s">
        <v>1730</v>
      </c>
      <c r="C39" s="14" t="s">
        <v>1731</v>
      </c>
      <c r="D39" s="14">
        <f>VLOOKUP(C39,'[3]R1'!$C$2:$J$42,8,FALSE)</f>
        <v>97</v>
      </c>
      <c r="E39" s="14" t="str">
        <f>VLOOKUP(C39,'[3]R2'!$B$2:$J$42,9,FALSE)</f>
        <v>76.12</v>
      </c>
      <c r="F39" s="14">
        <f>VLOOKUP(C39,[3]G!$C$2:$I$42,7)</f>
        <v>1.5</v>
      </c>
      <c r="G39" s="14"/>
      <c r="H39" s="14">
        <f>VLOOKUP(C39,[3]Sheet4!$B$1:$D$41,2,FALSE)</f>
        <v>83.884</v>
      </c>
      <c r="I39" s="14"/>
      <c r="J39" s="14"/>
      <c r="K39" s="14"/>
      <c r="L39" s="14"/>
      <c r="M39" s="14"/>
      <c r="N39" s="14"/>
    </row>
    <row r="40" s="8" customFormat="1" ht="20" customHeight="1" spans="1:14">
      <c r="A40" s="14">
        <v>36</v>
      </c>
      <c r="B40" s="14" t="s">
        <v>1732</v>
      </c>
      <c r="C40" s="14" t="s">
        <v>1733</v>
      </c>
      <c r="D40" s="14">
        <f>VLOOKUP(C40,'[3]R1'!$C$2:$J$42,8,FALSE)</f>
        <v>99</v>
      </c>
      <c r="E40" s="14" t="str">
        <f>VLOOKUP(C40,'[3]R2'!$B$2:$J$42,9,FALSE)</f>
        <v>80.06</v>
      </c>
      <c r="F40" s="14">
        <f>VLOOKUP(C40,[3]G!$C$2:$I$42,7)</f>
        <v>3</v>
      </c>
      <c r="G40" s="14">
        <f>VLOOKUP(C40,[3]H!$H$2:$O$11,8,FALSE)</f>
        <v>2</v>
      </c>
      <c r="H40" s="14">
        <f>VLOOKUP(C40,[3]Sheet4!$B$1:$D$41,2,FALSE)</f>
        <v>83.742</v>
      </c>
      <c r="I40" s="14"/>
      <c r="J40" s="14"/>
      <c r="K40" s="14"/>
      <c r="L40" s="14"/>
      <c r="M40" s="14"/>
      <c r="N40" s="14"/>
    </row>
    <row r="41" s="8" customFormat="1" ht="20" customHeight="1" spans="1:14">
      <c r="A41" s="14">
        <v>37</v>
      </c>
      <c r="B41" s="14" t="s">
        <v>1734</v>
      </c>
      <c r="C41" s="14" t="s">
        <v>1735</v>
      </c>
      <c r="D41" s="14">
        <f>VLOOKUP(C41,'[3]R1'!$C$2:$J$42,8,FALSE)</f>
        <v>99</v>
      </c>
      <c r="E41" s="14" t="str">
        <f>VLOOKUP(C41,'[3]R2'!$B$2:$J$42,9,FALSE)</f>
        <v>76.88</v>
      </c>
      <c r="F41" s="14">
        <f>VLOOKUP(C41,[3]G!$C$2:$I$42,7)</f>
        <v>3</v>
      </c>
      <c r="G41" s="14">
        <f>VLOOKUP(C41,[3]H!$H$2:$O$11,8,FALSE)</f>
        <v>2</v>
      </c>
      <c r="H41" s="14">
        <f>VLOOKUP(C41,[3]Sheet4!$B$1:$D$41,2,FALSE)</f>
        <v>83.016</v>
      </c>
      <c r="I41" s="14"/>
      <c r="J41" s="14"/>
      <c r="K41" s="14"/>
      <c r="L41" s="14"/>
      <c r="M41" s="14"/>
      <c r="N41" s="14"/>
    </row>
    <row r="42" s="8" customFormat="1" ht="20" customHeight="1" spans="1:14">
      <c r="A42" s="14">
        <v>38</v>
      </c>
      <c r="B42" s="14" t="s">
        <v>1736</v>
      </c>
      <c r="C42" s="14" t="s">
        <v>1737</v>
      </c>
      <c r="D42" s="14">
        <f>VLOOKUP(C42,'[3]R1'!$C$2:$J$42,8,FALSE)</f>
        <v>98</v>
      </c>
      <c r="E42" s="14" t="str">
        <f>VLOOKUP(C42,'[3]R2'!$B$2:$J$42,9,FALSE)</f>
        <v>76.76</v>
      </c>
      <c r="F42" s="14">
        <f>VLOOKUP(C42,[3]G!$C$2:$I$42,7)</f>
        <v>1.5</v>
      </c>
      <c r="G42" s="14">
        <f>VLOOKUP(C42,[3]H!$H$2:$O$11,8,FALSE)</f>
        <v>2</v>
      </c>
      <c r="H42" s="14">
        <f>VLOOKUP(C42,[3]Sheet4!$B$1:$D$41,2,FALSE)</f>
        <v>81.132</v>
      </c>
      <c r="I42" s="14"/>
      <c r="J42" s="14"/>
      <c r="K42" s="14"/>
      <c r="L42" s="14"/>
      <c r="M42" s="14"/>
      <c r="N42" s="14"/>
    </row>
    <row r="43" s="8" customFormat="1" ht="20" customHeight="1" spans="1:14">
      <c r="A43" s="14">
        <v>39</v>
      </c>
      <c r="B43" s="14" t="s">
        <v>1738</v>
      </c>
      <c r="C43" s="14" t="s">
        <v>1739</v>
      </c>
      <c r="D43" s="14">
        <f>VLOOKUP(C43,'[3]R1'!$C$2:$J$42,8,FALSE)</f>
        <v>98</v>
      </c>
      <c r="E43" s="14" t="str">
        <f>VLOOKUP(C43,'[3]R2'!$B$2:$J$42,9,FALSE)</f>
        <v>84.88</v>
      </c>
      <c r="F43" s="14">
        <f>VLOOKUP(C43,[3]G!$C$2:$I$42,7)</f>
        <v>0</v>
      </c>
      <c r="G43" s="14">
        <f>VLOOKUP(C43,[3]H!$H$2:$O$11,8,FALSE)</f>
        <v>10</v>
      </c>
      <c r="H43" s="14">
        <f>VLOOKUP(C43,[3]Sheet4!$B$1:$D$41,2,FALSE)</f>
        <v>78.816</v>
      </c>
      <c r="I43" s="14"/>
      <c r="J43" s="14"/>
      <c r="K43" s="14"/>
      <c r="L43" s="14"/>
      <c r="M43" s="14"/>
      <c r="N43" s="14"/>
    </row>
    <row r="44" s="8" customFormat="1" ht="20" customHeight="1" spans="1:14">
      <c r="A44" s="14">
        <v>40</v>
      </c>
      <c r="B44" s="14" t="s">
        <v>1740</v>
      </c>
      <c r="C44" s="14" t="s">
        <v>1741</v>
      </c>
      <c r="D44" s="14">
        <f>VLOOKUP(C44,'[3]R1'!$C$2:$J$42,8,FALSE)</f>
        <v>95</v>
      </c>
      <c r="E44" s="14" t="str">
        <f>VLOOKUP(C44,'[3]R2'!$B$2:$J$42,9,FALSE)</f>
        <v>77.59</v>
      </c>
      <c r="F44" s="14">
        <f>VLOOKUP(C44,[3]G!$C$2:$I$42,7)</f>
        <v>0</v>
      </c>
      <c r="G44" s="14">
        <f>VLOOKUP(C44,[3]H!$H$2:$O$11,8,FALSE)</f>
        <v>4</v>
      </c>
      <c r="H44" s="14">
        <f>VLOOKUP(C44,[3]Sheet4!$B$1:$D$41,2,FALSE)</f>
        <v>78.813</v>
      </c>
      <c r="I44" s="14"/>
      <c r="J44" s="14"/>
      <c r="K44" s="14"/>
      <c r="L44" s="14"/>
      <c r="M44" s="14"/>
      <c r="N44" s="14"/>
    </row>
    <row r="45" s="8" customFormat="1" ht="20" customHeight="1" spans="1:14">
      <c r="A45" s="14">
        <v>41</v>
      </c>
      <c r="B45" s="14" t="s">
        <v>1742</v>
      </c>
      <c r="C45" s="13" t="s">
        <v>1743</v>
      </c>
      <c r="D45" s="14">
        <f>VLOOKUP(C45,'[3]R1'!$C$2:$J$42,8,FALSE)</f>
        <v>96</v>
      </c>
      <c r="E45" s="14" t="str">
        <f>VLOOKUP(C45,'[3]R2'!$B$2:$J$42,9,FALSE)</f>
        <v>69.18</v>
      </c>
      <c r="F45" s="14">
        <f>VLOOKUP(C45,[3]G!$C$2:$I$42,7)</f>
        <v>1.5</v>
      </c>
      <c r="G45" s="14">
        <v>18</v>
      </c>
      <c r="H45" s="14">
        <f>VLOOKUP(C45,[3]Sheet4!$B$1:$D$41,2,FALSE)</f>
        <v>51.226</v>
      </c>
      <c r="I45" s="14"/>
      <c r="J45" s="14"/>
      <c r="K45" s="14"/>
      <c r="L45" s="14"/>
      <c r="M45" s="14"/>
      <c r="N45" s="14"/>
    </row>
    <row r="46" spans="1:14">
      <c r="A46" s="15" t="s">
        <v>119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</sheetData>
  <mergeCells count="4">
    <mergeCell ref="A1:N1"/>
    <mergeCell ref="A2:N2"/>
    <mergeCell ref="A3:N3"/>
    <mergeCell ref="A46:N46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B7" sqref="B7:C7"/>
    </sheetView>
  </sheetViews>
  <sheetFormatPr defaultColWidth="8.75" defaultRowHeight="16.8"/>
  <cols>
    <col min="2" max="2" width="17.9423076923077" customWidth="1"/>
    <col min="3" max="3" width="12.1730769230769" customWidth="1"/>
    <col min="4" max="4" width="15.2115384615385" customWidth="1"/>
    <col min="5" max="5" width="13.4615384615385" customWidth="1"/>
    <col min="6" max="6" width="14.0961538461538" customWidth="1"/>
    <col min="7" max="7" width="12.3365384615385" customWidth="1"/>
    <col min="8" max="8" width="20.5096153846154" customWidth="1"/>
    <col min="12" max="12" width="9.13461538461539" customWidth="1"/>
    <col min="14" max="14" width="14.0961538461538" customWidth="1"/>
  </cols>
  <sheetData>
    <row r="1" spans="1:1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37" customHeight="1" spans="1:14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ht="25" customHeight="1" spans="1:14">
      <c r="A3" s="11" t="s">
        <v>1744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ht="78" customHeight="1" spans="1:14">
      <c r="A4" s="12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9</v>
      </c>
      <c r="G4" s="12" t="s">
        <v>10</v>
      </c>
      <c r="H4" s="12" t="s">
        <v>753</v>
      </c>
      <c r="I4" s="12" t="s">
        <v>12</v>
      </c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="8" customFormat="1" ht="20" customHeight="1" spans="1:14">
      <c r="A5" s="13">
        <v>1</v>
      </c>
      <c r="B5" s="13" t="s">
        <v>1745</v>
      </c>
      <c r="C5" s="13" t="s">
        <v>1746</v>
      </c>
      <c r="D5" s="13">
        <v>100</v>
      </c>
      <c r="E5" s="13" t="s">
        <v>765</v>
      </c>
      <c r="F5" s="13">
        <v>5</v>
      </c>
      <c r="G5" s="13"/>
      <c r="H5" s="13">
        <f t="shared" ref="H5:H22" si="0">D5*0.3+E5*0.7+F5-G5</f>
        <v>94.045</v>
      </c>
      <c r="I5" s="13"/>
      <c r="J5" s="13"/>
      <c r="K5" s="13"/>
      <c r="L5" s="13"/>
      <c r="M5" s="13"/>
      <c r="N5" s="13" t="s">
        <v>21</v>
      </c>
    </row>
    <row r="6" s="8" customFormat="1" ht="20" customHeight="1" spans="1:14">
      <c r="A6" s="13">
        <v>2</v>
      </c>
      <c r="B6" s="13" t="s">
        <v>1747</v>
      </c>
      <c r="C6" s="13" t="s">
        <v>1748</v>
      </c>
      <c r="D6" s="13">
        <v>100</v>
      </c>
      <c r="E6" s="13" t="s">
        <v>1749</v>
      </c>
      <c r="F6" s="13"/>
      <c r="G6" s="13"/>
      <c r="H6" s="13">
        <f t="shared" si="0"/>
        <v>89.913</v>
      </c>
      <c r="I6" s="13"/>
      <c r="J6" s="13"/>
      <c r="K6" s="13"/>
      <c r="L6" s="13"/>
      <c r="M6" s="13" t="s">
        <v>21</v>
      </c>
      <c r="N6" s="13"/>
    </row>
    <row r="7" s="8" customFormat="1" ht="20" customHeight="1" spans="1:14">
      <c r="A7" s="13">
        <v>3</v>
      </c>
      <c r="B7" s="13" t="s">
        <v>1750</v>
      </c>
      <c r="C7" s="13" t="s">
        <v>1751</v>
      </c>
      <c r="D7" s="13">
        <v>100</v>
      </c>
      <c r="E7" s="13" t="s">
        <v>1046</v>
      </c>
      <c r="F7" s="13">
        <v>2</v>
      </c>
      <c r="G7" s="13"/>
      <c r="H7" s="13">
        <f t="shared" si="0"/>
        <v>88.658</v>
      </c>
      <c r="I7" s="13"/>
      <c r="J7" s="13"/>
      <c r="K7" s="13"/>
      <c r="L7" s="13"/>
      <c r="M7" s="13"/>
      <c r="N7" s="13" t="s">
        <v>21</v>
      </c>
    </row>
    <row r="8" s="8" customFormat="1" ht="20" customHeight="1" spans="1:14">
      <c r="A8" s="13">
        <v>4</v>
      </c>
      <c r="B8" s="13" t="s">
        <v>1752</v>
      </c>
      <c r="C8" s="13" t="s">
        <v>1753</v>
      </c>
      <c r="D8" s="13">
        <v>97</v>
      </c>
      <c r="E8" s="13" t="s">
        <v>148</v>
      </c>
      <c r="F8" s="13">
        <v>1</v>
      </c>
      <c r="G8" s="13"/>
      <c r="H8" s="13">
        <f t="shared" si="0"/>
        <v>88.2</v>
      </c>
      <c r="I8" s="13"/>
      <c r="J8" s="13"/>
      <c r="K8" s="13"/>
      <c r="L8" s="13"/>
      <c r="M8" s="13" t="s">
        <v>21</v>
      </c>
      <c r="N8" s="13"/>
    </row>
    <row r="9" s="8" customFormat="1" ht="20" customHeight="1" spans="1:14">
      <c r="A9" s="13">
        <v>5</v>
      </c>
      <c r="B9" s="13" t="s">
        <v>1754</v>
      </c>
      <c r="C9" s="13" t="s">
        <v>1755</v>
      </c>
      <c r="D9" s="13">
        <v>94</v>
      </c>
      <c r="E9" s="13" t="s">
        <v>528</v>
      </c>
      <c r="F9" s="13">
        <v>1</v>
      </c>
      <c r="G9" s="13"/>
      <c r="H9" s="13">
        <f t="shared" si="0"/>
        <v>85.774</v>
      </c>
      <c r="I9" s="13"/>
      <c r="J9" s="13"/>
      <c r="K9" s="13"/>
      <c r="L9" s="13"/>
      <c r="M9" s="13" t="s">
        <v>21</v>
      </c>
      <c r="N9" s="13"/>
    </row>
    <row r="10" s="8" customFormat="1" ht="20" customHeight="1" spans="1:14">
      <c r="A10" s="13">
        <v>6</v>
      </c>
      <c r="B10" s="13" t="s">
        <v>1756</v>
      </c>
      <c r="C10" s="13" t="s">
        <v>1757</v>
      </c>
      <c r="D10" s="13">
        <v>93</v>
      </c>
      <c r="E10" s="13" t="s">
        <v>171</v>
      </c>
      <c r="F10" s="13">
        <v>1</v>
      </c>
      <c r="G10" s="13"/>
      <c r="H10" s="13">
        <f t="shared" si="0"/>
        <v>83.374</v>
      </c>
      <c r="I10" s="13"/>
      <c r="J10" s="13"/>
      <c r="K10" s="13"/>
      <c r="L10" s="13"/>
      <c r="M10" s="13"/>
      <c r="N10" s="13"/>
    </row>
    <row r="11" s="8" customFormat="1" ht="20" customHeight="1" spans="1:14">
      <c r="A11" s="13">
        <v>7</v>
      </c>
      <c r="B11" s="13" t="s">
        <v>1758</v>
      </c>
      <c r="C11" s="13" t="s">
        <v>1759</v>
      </c>
      <c r="D11" s="13">
        <v>96</v>
      </c>
      <c r="E11" s="13" t="s">
        <v>314</v>
      </c>
      <c r="F11" s="13"/>
      <c r="G11" s="13"/>
      <c r="H11" s="13">
        <f t="shared" si="0"/>
        <v>82</v>
      </c>
      <c r="I11" s="13"/>
      <c r="J11" s="13"/>
      <c r="K11" s="13"/>
      <c r="L11" s="13"/>
      <c r="M11" s="13"/>
      <c r="N11" s="13"/>
    </row>
    <row r="12" s="8" customFormat="1" ht="20" customHeight="1" spans="1:14">
      <c r="A12" s="14">
        <v>8</v>
      </c>
      <c r="B12" s="20" t="s">
        <v>1760</v>
      </c>
      <c r="C12" s="14" t="s">
        <v>1761</v>
      </c>
      <c r="D12" s="14">
        <v>98</v>
      </c>
      <c r="E12" s="14" t="s">
        <v>1762</v>
      </c>
      <c r="F12" s="14"/>
      <c r="G12" s="14">
        <v>2</v>
      </c>
      <c r="H12" s="14">
        <f t="shared" si="0"/>
        <v>81.013</v>
      </c>
      <c r="I12" s="14"/>
      <c r="J12" s="14"/>
      <c r="K12" s="14"/>
      <c r="L12" s="14"/>
      <c r="M12" s="14"/>
      <c r="N12" s="14"/>
    </row>
    <row r="13" s="8" customFormat="1" ht="20" customHeight="1" spans="1:14">
      <c r="A13" s="14">
        <v>9</v>
      </c>
      <c r="B13" s="14" t="s">
        <v>1763</v>
      </c>
      <c r="C13" s="14" t="s">
        <v>1219</v>
      </c>
      <c r="D13" s="14">
        <v>92</v>
      </c>
      <c r="E13" s="14" t="s">
        <v>818</v>
      </c>
      <c r="F13" s="14"/>
      <c r="G13" s="14">
        <v>2</v>
      </c>
      <c r="H13" s="14">
        <f t="shared" si="0"/>
        <v>80.942</v>
      </c>
      <c r="I13" s="14"/>
      <c r="J13" s="14"/>
      <c r="K13" s="14"/>
      <c r="L13" s="14"/>
      <c r="M13" s="14"/>
      <c r="N13" s="14"/>
    </row>
    <row r="14" s="8" customFormat="1" ht="20" customHeight="1" spans="1:14">
      <c r="A14" s="14">
        <v>10</v>
      </c>
      <c r="B14" s="14" t="s">
        <v>1764</v>
      </c>
      <c r="C14" s="14" t="s">
        <v>1765</v>
      </c>
      <c r="D14" s="14">
        <v>95</v>
      </c>
      <c r="E14" s="14" t="s">
        <v>975</v>
      </c>
      <c r="F14" s="14">
        <v>1</v>
      </c>
      <c r="G14" s="14">
        <v>4</v>
      </c>
      <c r="H14" s="14">
        <f t="shared" si="0"/>
        <v>80.884</v>
      </c>
      <c r="I14" s="14"/>
      <c r="J14" s="14"/>
      <c r="K14" s="14"/>
      <c r="L14" s="14"/>
      <c r="M14" s="14"/>
      <c r="N14" s="14"/>
    </row>
    <row r="15" s="8" customFormat="1" ht="20" customHeight="1" spans="1:14">
      <c r="A15" s="14">
        <v>11</v>
      </c>
      <c r="B15" s="14" t="s">
        <v>1766</v>
      </c>
      <c r="C15" s="14" t="s">
        <v>1767</v>
      </c>
      <c r="D15" s="14">
        <v>96</v>
      </c>
      <c r="E15" s="14" t="s">
        <v>171</v>
      </c>
      <c r="F15" s="14"/>
      <c r="G15" s="14">
        <v>4</v>
      </c>
      <c r="H15" s="14">
        <f t="shared" si="0"/>
        <v>79.274</v>
      </c>
      <c r="I15" s="14"/>
      <c r="J15" s="14"/>
      <c r="K15" s="14"/>
      <c r="L15" s="14"/>
      <c r="M15" s="14"/>
      <c r="N15" s="14"/>
    </row>
    <row r="16" s="8" customFormat="1" ht="20" customHeight="1" spans="1:14">
      <c r="A16" s="14">
        <v>12</v>
      </c>
      <c r="B16" s="14" t="s">
        <v>1768</v>
      </c>
      <c r="C16" s="14" t="s">
        <v>1769</v>
      </c>
      <c r="D16" s="14">
        <v>99</v>
      </c>
      <c r="E16" s="14" t="s">
        <v>802</v>
      </c>
      <c r="F16" s="14">
        <v>2</v>
      </c>
      <c r="G16" s="14">
        <v>8</v>
      </c>
      <c r="H16" s="14">
        <f t="shared" si="0"/>
        <v>77.768</v>
      </c>
      <c r="I16" s="14"/>
      <c r="J16" s="14"/>
      <c r="K16" s="14"/>
      <c r="L16" s="14"/>
      <c r="M16" s="14"/>
      <c r="N16" s="14"/>
    </row>
    <row r="17" s="8" customFormat="1" ht="20" customHeight="1" spans="1:14">
      <c r="A17" s="14">
        <v>13</v>
      </c>
      <c r="B17" s="20" t="s">
        <v>1770</v>
      </c>
      <c r="C17" s="14" t="s">
        <v>1771</v>
      </c>
      <c r="D17" s="14">
        <v>93</v>
      </c>
      <c r="E17" s="14" t="s">
        <v>836</v>
      </c>
      <c r="F17" s="14"/>
      <c r="G17" s="14">
        <v>2</v>
      </c>
      <c r="H17" s="14">
        <f t="shared" si="0"/>
        <v>77.658</v>
      </c>
      <c r="I17" s="14"/>
      <c r="J17" s="14"/>
      <c r="K17" s="14"/>
      <c r="L17" s="14"/>
      <c r="M17" s="14"/>
      <c r="N17" s="14"/>
    </row>
    <row r="18" s="8" customFormat="1" ht="20" customHeight="1" spans="1:14">
      <c r="A18" s="14">
        <v>14</v>
      </c>
      <c r="B18" s="14" t="s">
        <v>1772</v>
      </c>
      <c r="C18" s="14" t="s">
        <v>1773</v>
      </c>
      <c r="D18" s="14">
        <v>95</v>
      </c>
      <c r="E18" s="14" t="s">
        <v>1774</v>
      </c>
      <c r="F18" s="14"/>
      <c r="G18" s="14">
        <v>2</v>
      </c>
      <c r="H18" s="14">
        <f t="shared" si="0"/>
        <v>77.355</v>
      </c>
      <c r="I18" s="14"/>
      <c r="J18" s="14"/>
      <c r="K18" s="14"/>
      <c r="L18" s="14"/>
      <c r="M18" s="14"/>
      <c r="N18" s="14"/>
    </row>
    <row r="19" s="8" customFormat="1" ht="20" customHeight="1" spans="1:14">
      <c r="A19" s="14">
        <v>15</v>
      </c>
      <c r="B19" s="14" t="s">
        <v>1775</v>
      </c>
      <c r="C19" s="14" t="s">
        <v>1776</v>
      </c>
      <c r="D19" s="14">
        <v>97</v>
      </c>
      <c r="E19" s="14" t="s">
        <v>1777</v>
      </c>
      <c r="F19" s="14">
        <v>1</v>
      </c>
      <c r="G19" s="14">
        <v>12</v>
      </c>
      <c r="H19" s="14">
        <f t="shared" si="0"/>
        <v>73.316</v>
      </c>
      <c r="I19" s="14"/>
      <c r="J19" s="14"/>
      <c r="K19" s="14"/>
      <c r="L19" s="14"/>
      <c r="M19" s="14"/>
      <c r="N19" s="14"/>
    </row>
    <row r="20" s="8" customFormat="1" ht="20" customHeight="1" spans="1:14">
      <c r="A20" s="14">
        <v>16</v>
      </c>
      <c r="B20" s="14" t="s">
        <v>1778</v>
      </c>
      <c r="C20" s="14" t="s">
        <v>1779</v>
      </c>
      <c r="D20" s="14">
        <v>93</v>
      </c>
      <c r="E20" s="14" t="s">
        <v>1780</v>
      </c>
      <c r="F20" s="14"/>
      <c r="G20" s="14">
        <v>14</v>
      </c>
      <c r="H20" s="14">
        <f t="shared" si="0"/>
        <v>68.997</v>
      </c>
      <c r="I20" s="14"/>
      <c r="J20" s="14"/>
      <c r="K20" s="14"/>
      <c r="L20" s="14"/>
      <c r="M20" s="14"/>
      <c r="N20" s="14"/>
    </row>
    <row r="21" s="8" customFormat="1" ht="20" customHeight="1" spans="1:14">
      <c r="A21" s="14">
        <v>17</v>
      </c>
      <c r="B21" s="14" t="s">
        <v>1781</v>
      </c>
      <c r="C21" s="14" t="s">
        <v>1782</v>
      </c>
      <c r="D21" s="14">
        <v>92</v>
      </c>
      <c r="E21" s="14" t="s">
        <v>1090</v>
      </c>
      <c r="F21" s="14"/>
      <c r="G21" s="14">
        <v>18</v>
      </c>
      <c r="H21" s="14">
        <f t="shared" si="0"/>
        <v>59.713</v>
      </c>
      <c r="I21" s="14"/>
      <c r="J21" s="14"/>
      <c r="K21" s="14"/>
      <c r="L21" s="14"/>
      <c r="M21" s="14"/>
      <c r="N21" s="14"/>
    </row>
    <row r="22" s="8" customFormat="1" ht="20" customHeight="1" spans="1:14">
      <c r="A22" s="14">
        <v>18</v>
      </c>
      <c r="B22" s="14" t="s">
        <v>1783</v>
      </c>
      <c r="C22" s="14" t="s">
        <v>1784</v>
      </c>
      <c r="D22" s="14">
        <v>94</v>
      </c>
      <c r="E22" s="14" t="s">
        <v>570</v>
      </c>
      <c r="F22" s="14">
        <v>2</v>
      </c>
      <c r="G22" s="14">
        <v>54</v>
      </c>
      <c r="H22" s="14">
        <f t="shared" si="0"/>
        <v>23.926</v>
      </c>
      <c r="I22" s="14"/>
      <c r="J22" s="14"/>
      <c r="K22" s="14"/>
      <c r="L22" s="14"/>
      <c r="M22" s="14"/>
      <c r="N22" s="14"/>
    </row>
    <row r="23" spans="1:14">
      <c r="A23" s="15" t="s">
        <v>119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</sheetData>
  <mergeCells count="4">
    <mergeCell ref="A1:N1"/>
    <mergeCell ref="A2:N2"/>
    <mergeCell ref="A3:N3"/>
    <mergeCell ref="A23:N23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workbookViewId="0">
      <selection activeCell="B5" sqref="B5:C7"/>
    </sheetView>
  </sheetViews>
  <sheetFormatPr defaultColWidth="8.75" defaultRowHeight="16.8"/>
  <cols>
    <col min="2" max="2" width="18.9038461538462" customWidth="1"/>
    <col min="3" max="3" width="12.0192307692308" customWidth="1"/>
    <col min="4" max="5" width="14.2596153846154" customWidth="1"/>
    <col min="6" max="6" width="13.9423076923077" customWidth="1"/>
    <col min="7" max="7" width="11.0576923076923" customWidth="1"/>
    <col min="8" max="8" width="20.8365384615385" customWidth="1"/>
    <col min="14" max="14" width="16.0192307692308" customWidth="1"/>
  </cols>
  <sheetData>
    <row r="1" spans="1:1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34" customHeight="1" spans="1:14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ht="26" customHeight="1" spans="1:14">
      <c r="A3" s="11" t="s">
        <v>1785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ht="53" spans="1:14">
      <c r="A4" s="12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9</v>
      </c>
      <c r="G4" s="12" t="s">
        <v>10</v>
      </c>
      <c r="H4" s="12" t="s">
        <v>753</v>
      </c>
      <c r="I4" s="12" t="s">
        <v>12</v>
      </c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="8" customFormat="1" ht="20" customHeight="1" spans="1:14">
      <c r="A5" s="13">
        <v>1</v>
      </c>
      <c r="B5" s="13" t="s">
        <v>1786</v>
      </c>
      <c r="C5" s="13" t="s">
        <v>1787</v>
      </c>
      <c r="D5" s="13">
        <v>96</v>
      </c>
      <c r="E5" s="13">
        <v>83.43</v>
      </c>
      <c r="F5" s="13">
        <v>3.5</v>
      </c>
      <c r="G5" s="13"/>
      <c r="H5" s="13">
        <f t="shared" ref="H5:H39" si="0">D5*0.3+E5*0.7+F5-G5</f>
        <v>90.701</v>
      </c>
      <c r="I5" s="13"/>
      <c r="J5" s="13"/>
      <c r="K5" s="13"/>
      <c r="L5" s="13"/>
      <c r="M5" s="13"/>
      <c r="N5" s="13" t="s">
        <v>21</v>
      </c>
    </row>
    <row r="6" s="8" customFormat="1" ht="20" customHeight="1" spans="1:14">
      <c r="A6" s="13">
        <v>2</v>
      </c>
      <c r="B6" s="13" t="s">
        <v>1788</v>
      </c>
      <c r="C6" s="13" t="s">
        <v>1789</v>
      </c>
      <c r="D6" s="13">
        <v>90</v>
      </c>
      <c r="E6" s="13">
        <v>86.24</v>
      </c>
      <c r="F6" s="13">
        <v>2</v>
      </c>
      <c r="G6" s="13"/>
      <c r="H6" s="13">
        <f t="shared" si="0"/>
        <v>89.368</v>
      </c>
      <c r="I6" s="13"/>
      <c r="J6" s="13"/>
      <c r="K6" s="13"/>
      <c r="L6" s="13"/>
      <c r="M6" s="13"/>
      <c r="N6" s="13" t="s">
        <v>21</v>
      </c>
    </row>
    <row r="7" s="8" customFormat="1" ht="20" customHeight="1" spans="1:14">
      <c r="A7" s="13">
        <v>3</v>
      </c>
      <c r="B7" s="13" t="s">
        <v>1790</v>
      </c>
      <c r="C7" s="13" t="s">
        <v>1791</v>
      </c>
      <c r="D7" s="13">
        <v>90</v>
      </c>
      <c r="E7" s="13">
        <v>87.05</v>
      </c>
      <c r="F7" s="13">
        <v>1</v>
      </c>
      <c r="G7" s="13"/>
      <c r="H7" s="13">
        <f t="shared" si="0"/>
        <v>88.935</v>
      </c>
      <c r="I7" s="13"/>
      <c r="J7" s="13"/>
      <c r="K7" s="13"/>
      <c r="L7" s="13"/>
      <c r="M7" s="13"/>
      <c r="N7" s="13" t="s">
        <v>21</v>
      </c>
    </row>
    <row r="8" s="8" customFormat="1" ht="20" customHeight="1" spans="1:14">
      <c r="A8" s="13">
        <v>4</v>
      </c>
      <c r="B8" s="13" t="s">
        <v>1792</v>
      </c>
      <c r="C8" s="13" t="s">
        <v>1793</v>
      </c>
      <c r="D8" s="13">
        <v>93</v>
      </c>
      <c r="E8" s="13">
        <v>81.33</v>
      </c>
      <c r="F8" s="13">
        <v>2</v>
      </c>
      <c r="G8" s="13"/>
      <c r="H8" s="13">
        <f t="shared" si="0"/>
        <v>86.831</v>
      </c>
      <c r="I8" s="13"/>
      <c r="J8" s="13"/>
      <c r="K8" s="13"/>
      <c r="L8" s="13"/>
      <c r="M8" s="13" t="s">
        <v>21</v>
      </c>
      <c r="N8" s="13"/>
    </row>
    <row r="9" s="8" customFormat="1" ht="20" customHeight="1" spans="1:14">
      <c r="A9" s="13">
        <v>5</v>
      </c>
      <c r="B9" s="13" t="s">
        <v>1794</v>
      </c>
      <c r="C9" s="13" t="s">
        <v>1795</v>
      </c>
      <c r="D9" s="13">
        <v>92</v>
      </c>
      <c r="E9" s="13">
        <v>82.43</v>
      </c>
      <c r="F9" s="13"/>
      <c r="G9" s="13"/>
      <c r="H9" s="13">
        <f t="shared" si="0"/>
        <v>85.301</v>
      </c>
      <c r="I9" s="13"/>
      <c r="J9" s="13"/>
      <c r="K9" s="13"/>
      <c r="L9" s="13"/>
      <c r="M9" s="13" t="s">
        <v>21</v>
      </c>
      <c r="N9" s="13"/>
    </row>
    <row r="10" s="8" customFormat="1" ht="20" customHeight="1" spans="1:14">
      <c r="A10" s="13">
        <v>6</v>
      </c>
      <c r="B10" s="13" t="s">
        <v>1796</v>
      </c>
      <c r="C10" s="13" t="s">
        <v>1797</v>
      </c>
      <c r="D10" s="13">
        <v>88</v>
      </c>
      <c r="E10" s="13">
        <v>83.86</v>
      </c>
      <c r="F10" s="13"/>
      <c r="G10" s="13"/>
      <c r="H10" s="13">
        <f t="shared" si="0"/>
        <v>85.102</v>
      </c>
      <c r="I10" s="13"/>
      <c r="J10" s="13"/>
      <c r="K10" s="13"/>
      <c r="L10" s="13"/>
      <c r="M10" s="13" t="s">
        <v>21</v>
      </c>
      <c r="N10" s="13"/>
    </row>
    <row r="11" s="8" customFormat="1" ht="20" customHeight="1" spans="1:14">
      <c r="A11" s="13">
        <v>7</v>
      </c>
      <c r="B11" s="13" t="s">
        <v>1798</v>
      </c>
      <c r="C11" s="13" t="s">
        <v>1799</v>
      </c>
      <c r="D11" s="13">
        <v>90</v>
      </c>
      <c r="E11" s="13">
        <v>81.43</v>
      </c>
      <c r="F11" s="13">
        <v>1</v>
      </c>
      <c r="G11" s="13"/>
      <c r="H11" s="13">
        <f t="shared" si="0"/>
        <v>85.001</v>
      </c>
      <c r="I11" s="13"/>
      <c r="J11" s="13"/>
      <c r="K11" s="13"/>
      <c r="L11" s="13"/>
      <c r="M11" s="13" t="s">
        <v>21</v>
      </c>
      <c r="N11" s="13"/>
    </row>
    <row r="12" s="8" customFormat="1" ht="20" customHeight="1" spans="1:14">
      <c r="A12" s="13">
        <v>8</v>
      </c>
      <c r="B12" s="13" t="s">
        <v>1800</v>
      </c>
      <c r="C12" s="13" t="s">
        <v>1801</v>
      </c>
      <c r="D12" s="13">
        <v>83</v>
      </c>
      <c r="E12" s="13">
        <v>84.81</v>
      </c>
      <c r="F12" s="13"/>
      <c r="G12" s="13"/>
      <c r="H12" s="13">
        <f t="shared" si="0"/>
        <v>84.267</v>
      </c>
      <c r="I12" s="13"/>
      <c r="J12" s="13"/>
      <c r="K12" s="13"/>
      <c r="L12" s="13"/>
      <c r="M12" s="13"/>
      <c r="N12" s="13"/>
    </row>
    <row r="13" s="8" customFormat="1" ht="20" customHeight="1" spans="1:14">
      <c r="A13" s="13">
        <v>9</v>
      </c>
      <c r="B13" s="13" t="s">
        <v>1802</v>
      </c>
      <c r="C13" s="13" t="s">
        <v>1803</v>
      </c>
      <c r="D13" s="13">
        <v>93</v>
      </c>
      <c r="E13" s="13">
        <v>77.43</v>
      </c>
      <c r="F13" s="13">
        <v>2</v>
      </c>
      <c r="G13" s="13"/>
      <c r="H13" s="13">
        <f t="shared" si="0"/>
        <v>84.101</v>
      </c>
      <c r="I13" s="13"/>
      <c r="J13" s="13"/>
      <c r="K13" s="13"/>
      <c r="L13" s="13"/>
      <c r="M13" s="13"/>
      <c r="N13" s="13"/>
    </row>
    <row r="14" s="8" customFormat="1" ht="20" customHeight="1" spans="1:14">
      <c r="A14" s="13">
        <v>10</v>
      </c>
      <c r="B14" s="13" t="s">
        <v>1804</v>
      </c>
      <c r="C14" s="13" t="s">
        <v>1805</v>
      </c>
      <c r="D14" s="13">
        <v>85</v>
      </c>
      <c r="E14" s="13">
        <v>83.71</v>
      </c>
      <c r="F14" s="13"/>
      <c r="G14" s="13"/>
      <c r="H14" s="13">
        <f t="shared" si="0"/>
        <v>84.097</v>
      </c>
      <c r="I14" s="13"/>
      <c r="J14" s="13"/>
      <c r="K14" s="13"/>
      <c r="L14" s="13"/>
      <c r="M14" s="13"/>
      <c r="N14" s="13"/>
    </row>
    <row r="15" s="8" customFormat="1" ht="20" customHeight="1" spans="1:14">
      <c r="A15" s="13">
        <v>11</v>
      </c>
      <c r="B15" s="13" t="s">
        <v>1806</v>
      </c>
      <c r="C15" s="13" t="s">
        <v>1807</v>
      </c>
      <c r="D15" s="13">
        <v>90</v>
      </c>
      <c r="E15" s="13">
        <v>79.05</v>
      </c>
      <c r="F15" s="13">
        <v>1.5</v>
      </c>
      <c r="G15" s="13"/>
      <c r="H15" s="13">
        <f t="shared" si="0"/>
        <v>83.835</v>
      </c>
      <c r="I15" s="13"/>
      <c r="J15" s="13"/>
      <c r="K15" s="13"/>
      <c r="L15" s="13"/>
      <c r="M15" s="13"/>
      <c r="N15" s="13"/>
    </row>
    <row r="16" s="8" customFormat="1" ht="20" customHeight="1" spans="1:14">
      <c r="A16" s="13">
        <v>12</v>
      </c>
      <c r="B16" s="13" t="s">
        <v>1808</v>
      </c>
      <c r="C16" s="13" t="s">
        <v>1809</v>
      </c>
      <c r="D16" s="13">
        <v>94</v>
      </c>
      <c r="E16" s="13">
        <v>76.1</v>
      </c>
      <c r="F16" s="13">
        <v>2</v>
      </c>
      <c r="G16" s="13"/>
      <c r="H16" s="13">
        <f t="shared" si="0"/>
        <v>83.47</v>
      </c>
      <c r="I16" s="13"/>
      <c r="J16" s="13"/>
      <c r="K16" s="13"/>
      <c r="L16" s="13"/>
      <c r="M16" s="13"/>
      <c r="N16" s="13"/>
    </row>
    <row r="17" s="8" customFormat="1" ht="20" customHeight="1" spans="1:14">
      <c r="A17" s="13">
        <v>13</v>
      </c>
      <c r="B17" s="13" t="s">
        <v>1810</v>
      </c>
      <c r="C17" s="13" t="s">
        <v>1811</v>
      </c>
      <c r="D17" s="13">
        <v>86</v>
      </c>
      <c r="E17" s="13">
        <v>79.19</v>
      </c>
      <c r="F17" s="13">
        <v>1.5</v>
      </c>
      <c r="G17" s="13">
        <v>1</v>
      </c>
      <c r="H17" s="13">
        <f t="shared" si="0"/>
        <v>81.733</v>
      </c>
      <c r="I17" s="13"/>
      <c r="J17" s="13"/>
      <c r="K17" s="13"/>
      <c r="L17" s="13"/>
      <c r="M17" s="13"/>
      <c r="N17" s="13"/>
    </row>
    <row r="18" s="8" customFormat="1" ht="20" customHeight="1" spans="1:14">
      <c r="A18" s="13">
        <v>14</v>
      </c>
      <c r="B18" s="13" t="s">
        <v>1812</v>
      </c>
      <c r="C18" s="13" t="s">
        <v>1813</v>
      </c>
      <c r="D18" s="13">
        <v>88</v>
      </c>
      <c r="E18" s="13">
        <v>78.62</v>
      </c>
      <c r="F18" s="13"/>
      <c r="G18" s="13"/>
      <c r="H18" s="13">
        <f t="shared" si="0"/>
        <v>81.434</v>
      </c>
      <c r="I18" s="13"/>
      <c r="J18" s="13"/>
      <c r="K18" s="13"/>
      <c r="L18" s="13"/>
      <c r="M18" s="13"/>
      <c r="N18" s="13"/>
    </row>
    <row r="19" s="8" customFormat="1" ht="20" customHeight="1" spans="1:14">
      <c r="A19" s="14">
        <v>15</v>
      </c>
      <c r="B19" s="14" t="s">
        <v>1814</v>
      </c>
      <c r="C19" s="14" t="s">
        <v>1815</v>
      </c>
      <c r="D19" s="14">
        <v>92</v>
      </c>
      <c r="E19" s="14">
        <v>77.81</v>
      </c>
      <c r="F19" s="14"/>
      <c r="G19" s="14">
        <v>1</v>
      </c>
      <c r="H19" s="14">
        <f t="shared" si="0"/>
        <v>81.067</v>
      </c>
      <c r="I19" s="14"/>
      <c r="J19" s="14"/>
      <c r="K19" s="14"/>
      <c r="L19" s="14"/>
      <c r="M19" s="14"/>
      <c r="N19" s="14"/>
    </row>
    <row r="20" s="8" customFormat="1" ht="20" customHeight="1" spans="1:14">
      <c r="A20" s="14">
        <v>16</v>
      </c>
      <c r="B20" s="14" t="s">
        <v>1816</v>
      </c>
      <c r="C20" s="14" t="s">
        <v>358</v>
      </c>
      <c r="D20" s="14">
        <v>88</v>
      </c>
      <c r="E20" s="14">
        <v>78.29</v>
      </c>
      <c r="F20" s="14"/>
      <c r="G20" s="14">
        <v>1</v>
      </c>
      <c r="H20" s="14">
        <f t="shared" si="0"/>
        <v>80.203</v>
      </c>
      <c r="I20" s="14"/>
      <c r="J20" s="14"/>
      <c r="K20" s="14"/>
      <c r="L20" s="14"/>
      <c r="M20" s="14"/>
      <c r="N20" s="14"/>
    </row>
    <row r="21" s="8" customFormat="1" ht="20" customHeight="1" spans="1:14">
      <c r="A21" s="14">
        <v>17</v>
      </c>
      <c r="B21" s="14" t="s">
        <v>1817</v>
      </c>
      <c r="C21" s="14" t="s">
        <v>1818</v>
      </c>
      <c r="D21" s="14">
        <v>88</v>
      </c>
      <c r="E21" s="14">
        <v>76.76</v>
      </c>
      <c r="F21" s="14"/>
      <c r="G21" s="14"/>
      <c r="H21" s="14">
        <f t="shared" si="0"/>
        <v>80.132</v>
      </c>
      <c r="I21" s="14"/>
      <c r="J21" s="14"/>
      <c r="K21" s="14"/>
      <c r="L21" s="14"/>
      <c r="M21" s="14"/>
      <c r="N21" s="14"/>
    </row>
    <row r="22" s="8" customFormat="1" ht="20" customHeight="1" spans="1:14">
      <c r="A22" s="14">
        <v>18</v>
      </c>
      <c r="B22" s="14" t="s">
        <v>1819</v>
      </c>
      <c r="C22" s="14" t="s">
        <v>1820</v>
      </c>
      <c r="D22" s="14">
        <v>90</v>
      </c>
      <c r="E22" s="14">
        <v>74.95</v>
      </c>
      <c r="F22" s="14"/>
      <c r="G22" s="14"/>
      <c r="H22" s="14">
        <f t="shared" si="0"/>
        <v>79.465</v>
      </c>
      <c r="I22" s="14"/>
      <c r="J22" s="14"/>
      <c r="K22" s="14"/>
      <c r="L22" s="14"/>
      <c r="M22" s="14"/>
      <c r="N22" s="14"/>
    </row>
    <row r="23" s="8" customFormat="1" ht="20" customHeight="1" spans="1:14">
      <c r="A23" s="14">
        <v>19</v>
      </c>
      <c r="B23" s="14" t="s">
        <v>1821</v>
      </c>
      <c r="C23" s="14" t="s">
        <v>1822</v>
      </c>
      <c r="D23" s="14">
        <v>90</v>
      </c>
      <c r="E23" s="14">
        <v>74.86</v>
      </c>
      <c r="F23" s="14"/>
      <c r="G23" s="14"/>
      <c r="H23" s="14">
        <f t="shared" si="0"/>
        <v>79.402</v>
      </c>
      <c r="I23" s="14"/>
      <c r="J23" s="14"/>
      <c r="K23" s="14"/>
      <c r="L23" s="14"/>
      <c r="M23" s="14"/>
      <c r="N23" s="14"/>
    </row>
    <row r="24" s="8" customFormat="1" ht="20" customHeight="1" spans="1:14">
      <c r="A24" s="14">
        <v>20</v>
      </c>
      <c r="B24" s="14" t="s">
        <v>1823</v>
      </c>
      <c r="C24" s="14" t="s">
        <v>1824</v>
      </c>
      <c r="D24" s="14">
        <v>80</v>
      </c>
      <c r="E24" s="14">
        <v>79.95</v>
      </c>
      <c r="F24" s="14">
        <v>1</v>
      </c>
      <c r="G24" s="14">
        <v>2</v>
      </c>
      <c r="H24" s="14">
        <f t="shared" si="0"/>
        <v>78.965</v>
      </c>
      <c r="I24" s="14"/>
      <c r="J24" s="14"/>
      <c r="K24" s="14"/>
      <c r="L24" s="14"/>
      <c r="M24" s="14"/>
      <c r="N24" s="14"/>
    </row>
    <row r="25" s="8" customFormat="1" ht="20" customHeight="1" spans="1:14">
      <c r="A25" s="14">
        <v>21</v>
      </c>
      <c r="B25" s="14" t="s">
        <v>1825</v>
      </c>
      <c r="C25" s="14" t="s">
        <v>1826</v>
      </c>
      <c r="D25" s="14">
        <v>85</v>
      </c>
      <c r="E25" s="14">
        <v>76.29</v>
      </c>
      <c r="F25" s="14"/>
      <c r="G25" s="14"/>
      <c r="H25" s="14">
        <f t="shared" si="0"/>
        <v>78.903</v>
      </c>
      <c r="I25" s="14"/>
      <c r="J25" s="14"/>
      <c r="K25" s="14"/>
      <c r="L25" s="14"/>
      <c r="M25" s="14"/>
      <c r="N25" s="14"/>
    </row>
    <row r="26" s="8" customFormat="1" ht="20" customHeight="1" spans="1:14">
      <c r="A26" s="14">
        <v>22</v>
      </c>
      <c r="B26" s="14" t="s">
        <v>1827</v>
      </c>
      <c r="C26" s="14" t="s">
        <v>1828</v>
      </c>
      <c r="D26" s="14">
        <v>88</v>
      </c>
      <c r="E26" s="14">
        <v>74.86</v>
      </c>
      <c r="F26" s="14"/>
      <c r="G26" s="14"/>
      <c r="H26" s="14">
        <f t="shared" si="0"/>
        <v>78.802</v>
      </c>
      <c r="I26" s="14"/>
      <c r="J26" s="14"/>
      <c r="K26" s="14"/>
      <c r="L26" s="14"/>
      <c r="M26" s="14"/>
      <c r="N26" s="14"/>
    </row>
    <row r="27" s="8" customFormat="1" ht="20" customHeight="1" spans="1:14">
      <c r="A27" s="14">
        <v>23</v>
      </c>
      <c r="B27" s="14" t="s">
        <v>1829</v>
      </c>
      <c r="C27" s="14" t="s">
        <v>1830</v>
      </c>
      <c r="D27" s="14">
        <v>85</v>
      </c>
      <c r="E27" s="14">
        <v>77.33</v>
      </c>
      <c r="F27" s="14"/>
      <c r="G27" s="14">
        <v>1</v>
      </c>
      <c r="H27" s="14">
        <f t="shared" si="0"/>
        <v>78.631</v>
      </c>
      <c r="I27" s="14"/>
      <c r="J27" s="14"/>
      <c r="K27" s="14"/>
      <c r="L27" s="14"/>
      <c r="M27" s="14"/>
      <c r="N27" s="14"/>
    </row>
    <row r="28" s="8" customFormat="1" ht="20" customHeight="1" spans="1:14">
      <c r="A28" s="14">
        <v>24</v>
      </c>
      <c r="B28" s="14" t="s">
        <v>1831</v>
      </c>
      <c r="C28" s="14" t="s">
        <v>1832</v>
      </c>
      <c r="D28" s="14">
        <v>83</v>
      </c>
      <c r="E28" s="14">
        <v>77.57</v>
      </c>
      <c r="F28" s="14"/>
      <c r="G28" s="14">
        <v>1</v>
      </c>
      <c r="H28" s="14">
        <f t="shared" si="0"/>
        <v>78.199</v>
      </c>
      <c r="I28" s="14"/>
      <c r="J28" s="14"/>
      <c r="K28" s="14"/>
      <c r="L28" s="14"/>
      <c r="M28" s="14"/>
      <c r="N28" s="14"/>
    </row>
    <row r="29" s="8" customFormat="1" ht="20" customHeight="1" spans="1:14">
      <c r="A29" s="14">
        <v>25</v>
      </c>
      <c r="B29" s="14" t="s">
        <v>1833</v>
      </c>
      <c r="C29" s="14" t="s">
        <v>1834</v>
      </c>
      <c r="D29" s="14">
        <v>85</v>
      </c>
      <c r="E29" s="14">
        <v>75.05</v>
      </c>
      <c r="F29" s="14"/>
      <c r="G29" s="14"/>
      <c r="H29" s="14">
        <f t="shared" si="0"/>
        <v>78.035</v>
      </c>
      <c r="I29" s="14"/>
      <c r="J29" s="14"/>
      <c r="K29" s="14"/>
      <c r="L29" s="14"/>
      <c r="M29" s="14"/>
      <c r="N29" s="14"/>
    </row>
    <row r="30" s="8" customFormat="1" ht="20" customHeight="1" spans="1:14">
      <c r="A30" s="14">
        <v>26</v>
      </c>
      <c r="B30" s="14" t="s">
        <v>1835</v>
      </c>
      <c r="C30" s="14" t="s">
        <v>1836</v>
      </c>
      <c r="D30" s="14">
        <v>81</v>
      </c>
      <c r="E30" s="14">
        <v>76.52</v>
      </c>
      <c r="F30" s="14"/>
      <c r="G30" s="14"/>
      <c r="H30" s="14">
        <f t="shared" si="0"/>
        <v>77.864</v>
      </c>
      <c r="I30" s="14"/>
      <c r="J30" s="14"/>
      <c r="K30" s="14"/>
      <c r="L30" s="14"/>
      <c r="M30" s="14"/>
      <c r="N30" s="14"/>
    </row>
    <row r="31" s="8" customFormat="1" ht="20" customHeight="1" spans="1:14">
      <c r="A31" s="14">
        <v>27</v>
      </c>
      <c r="B31" s="14" t="s">
        <v>1837</v>
      </c>
      <c r="C31" s="14" t="s">
        <v>1838</v>
      </c>
      <c r="D31" s="14">
        <v>83</v>
      </c>
      <c r="E31" s="14">
        <v>76.48</v>
      </c>
      <c r="F31" s="14"/>
      <c r="G31" s="14">
        <v>1</v>
      </c>
      <c r="H31" s="14">
        <f t="shared" si="0"/>
        <v>77.436</v>
      </c>
      <c r="I31" s="14"/>
      <c r="J31" s="14"/>
      <c r="K31" s="14"/>
      <c r="L31" s="14"/>
      <c r="M31" s="14"/>
      <c r="N31" s="14"/>
    </row>
    <row r="32" s="8" customFormat="1" ht="20" customHeight="1" spans="1:14">
      <c r="A32" s="14">
        <v>28</v>
      </c>
      <c r="B32" s="14" t="s">
        <v>1839</v>
      </c>
      <c r="C32" s="14" t="s">
        <v>1840</v>
      </c>
      <c r="D32" s="14">
        <v>82</v>
      </c>
      <c r="E32" s="14">
        <v>75.19</v>
      </c>
      <c r="F32" s="14"/>
      <c r="G32" s="14"/>
      <c r="H32" s="14">
        <f t="shared" si="0"/>
        <v>77.233</v>
      </c>
      <c r="I32" s="14"/>
      <c r="J32" s="14"/>
      <c r="K32" s="14"/>
      <c r="L32" s="14"/>
      <c r="M32" s="14"/>
      <c r="N32" s="14"/>
    </row>
    <row r="33" s="8" customFormat="1" ht="20" customHeight="1" spans="1:14">
      <c r="A33" s="14">
        <v>29</v>
      </c>
      <c r="B33" s="14" t="s">
        <v>1841</v>
      </c>
      <c r="C33" s="14" t="s">
        <v>1842</v>
      </c>
      <c r="D33" s="14">
        <v>82</v>
      </c>
      <c r="E33" s="14">
        <v>76.48</v>
      </c>
      <c r="F33" s="14"/>
      <c r="G33" s="14">
        <v>1</v>
      </c>
      <c r="H33" s="14">
        <f t="shared" si="0"/>
        <v>77.136</v>
      </c>
      <c r="I33" s="14"/>
      <c r="J33" s="14"/>
      <c r="K33" s="14"/>
      <c r="L33" s="14"/>
      <c r="M33" s="14"/>
      <c r="N33" s="14"/>
    </row>
    <row r="34" s="8" customFormat="1" ht="20" customHeight="1" spans="1:14">
      <c r="A34" s="14">
        <v>30</v>
      </c>
      <c r="B34" s="14" t="s">
        <v>1843</v>
      </c>
      <c r="C34" s="14" t="s">
        <v>1844</v>
      </c>
      <c r="D34" s="14">
        <v>84</v>
      </c>
      <c r="E34" s="14">
        <v>75.57</v>
      </c>
      <c r="F34" s="14"/>
      <c r="G34" s="14">
        <v>1</v>
      </c>
      <c r="H34" s="14">
        <f t="shared" si="0"/>
        <v>77.099</v>
      </c>
      <c r="I34" s="14"/>
      <c r="J34" s="14"/>
      <c r="K34" s="14"/>
      <c r="L34" s="14"/>
      <c r="M34" s="14"/>
      <c r="N34" s="14"/>
    </row>
    <row r="35" s="8" customFormat="1" ht="20" customHeight="1" spans="1:14">
      <c r="A35" s="14">
        <v>31</v>
      </c>
      <c r="B35" s="14" t="s">
        <v>1845</v>
      </c>
      <c r="C35" s="14" t="s">
        <v>1846</v>
      </c>
      <c r="D35" s="14">
        <v>80</v>
      </c>
      <c r="E35" s="14">
        <v>76.14</v>
      </c>
      <c r="F35" s="14"/>
      <c r="G35" s="14">
        <v>1</v>
      </c>
      <c r="H35" s="14">
        <f t="shared" si="0"/>
        <v>76.298</v>
      </c>
      <c r="I35" s="14"/>
      <c r="J35" s="14"/>
      <c r="K35" s="14"/>
      <c r="L35" s="14"/>
      <c r="M35" s="14"/>
      <c r="N35" s="14"/>
    </row>
    <row r="36" s="8" customFormat="1" ht="20" customHeight="1" spans="1:14">
      <c r="A36" s="14">
        <v>32</v>
      </c>
      <c r="B36" s="14" t="s">
        <v>1847</v>
      </c>
      <c r="C36" s="14" t="s">
        <v>1848</v>
      </c>
      <c r="D36" s="14">
        <v>82</v>
      </c>
      <c r="E36" s="14">
        <v>75.62</v>
      </c>
      <c r="F36" s="14"/>
      <c r="G36" s="14">
        <v>2</v>
      </c>
      <c r="H36" s="14">
        <f t="shared" si="0"/>
        <v>75.534</v>
      </c>
      <c r="I36" s="14"/>
      <c r="J36" s="14"/>
      <c r="K36" s="14"/>
      <c r="L36" s="14"/>
      <c r="M36" s="14"/>
      <c r="N36" s="14"/>
    </row>
    <row r="37" s="8" customFormat="1" ht="20" customHeight="1" spans="1:14">
      <c r="A37" s="14">
        <v>33</v>
      </c>
      <c r="B37" s="14" t="s">
        <v>1849</v>
      </c>
      <c r="C37" s="14" t="s">
        <v>1850</v>
      </c>
      <c r="D37" s="14">
        <v>88</v>
      </c>
      <c r="E37" s="14">
        <v>71.48</v>
      </c>
      <c r="F37" s="14"/>
      <c r="G37" s="14">
        <v>1</v>
      </c>
      <c r="H37" s="14">
        <f t="shared" si="0"/>
        <v>75.436</v>
      </c>
      <c r="I37" s="14"/>
      <c r="J37" s="14"/>
      <c r="K37" s="14"/>
      <c r="L37" s="14"/>
      <c r="M37" s="14"/>
      <c r="N37" s="14"/>
    </row>
    <row r="38" s="8" customFormat="1" ht="20" customHeight="1" spans="1:14">
      <c r="A38" s="14">
        <v>34</v>
      </c>
      <c r="B38" s="14" t="s">
        <v>1851</v>
      </c>
      <c r="C38" s="14" t="s">
        <v>1852</v>
      </c>
      <c r="D38" s="14">
        <v>82</v>
      </c>
      <c r="E38" s="14">
        <v>67.57</v>
      </c>
      <c r="F38" s="14"/>
      <c r="G38" s="14">
        <v>4</v>
      </c>
      <c r="H38" s="14">
        <f t="shared" si="0"/>
        <v>67.899</v>
      </c>
      <c r="I38" s="14"/>
      <c r="J38" s="14"/>
      <c r="K38" s="14"/>
      <c r="L38" s="14"/>
      <c r="M38" s="14"/>
      <c r="N38" s="14"/>
    </row>
    <row r="39" s="8" customFormat="1" ht="20" customHeight="1" spans="1:14">
      <c r="A39" s="14">
        <v>35</v>
      </c>
      <c r="B39" s="14" t="s">
        <v>1853</v>
      </c>
      <c r="C39" s="14" t="s">
        <v>1854</v>
      </c>
      <c r="D39" s="14">
        <v>82</v>
      </c>
      <c r="E39" s="14">
        <v>64.43</v>
      </c>
      <c r="F39" s="14"/>
      <c r="G39" s="14">
        <v>5</v>
      </c>
      <c r="H39" s="14">
        <f t="shared" si="0"/>
        <v>64.701</v>
      </c>
      <c r="I39" s="14"/>
      <c r="J39" s="14"/>
      <c r="K39" s="14"/>
      <c r="L39" s="14"/>
      <c r="M39" s="14"/>
      <c r="N39" s="14"/>
    </row>
    <row r="40" spans="1:14">
      <c r="A40" s="15" t="s">
        <v>119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</sheetData>
  <mergeCells count="4">
    <mergeCell ref="A1:N1"/>
    <mergeCell ref="A2:N2"/>
    <mergeCell ref="A3:N3"/>
    <mergeCell ref="A40:N40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2"/>
  <sheetViews>
    <sheetView workbookViewId="0">
      <selection activeCell="B16" sqref="B16:C16"/>
    </sheetView>
  </sheetViews>
  <sheetFormatPr defaultColWidth="8.75" defaultRowHeight="16.8"/>
  <cols>
    <col min="2" max="2" width="17.9423076923077" customWidth="1"/>
    <col min="3" max="3" width="12.3269230769231" customWidth="1"/>
    <col min="4" max="4" width="13.4615384615385" customWidth="1"/>
    <col min="5" max="5" width="13.7788461538462" customWidth="1"/>
    <col min="6" max="6" width="13.9326923076923" customWidth="1"/>
    <col min="7" max="7" width="12.9807692307692" customWidth="1"/>
    <col min="8" max="8" width="12.4903846153846" customWidth="1"/>
    <col min="9" max="9" width="25.3173076923077" customWidth="1"/>
  </cols>
  <sheetData>
    <row r="1" ht="23" customHeight="1" spans="1:9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ht="36" customHeight="1" spans="1:9">
      <c r="A2" s="17" t="s">
        <v>1</v>
      </c>
      <c r="B2" s="17"/>
      <c r="C2" s="17"/>
      <c r="D2" s="17"/>
      <c r="E2" s="17"/>
      <c r="F2" s="17"/>
      <c r="G2" s="17"/>
      <c r="H2" s="17"/>
      <c r="I2" s="17"/>
    </row>
    <row r="3" ht="26" customHeight="1" spans="1:9">
      <c r="A3" s="18" t="s">
        <v>1855</v>
      </c>
      <c r="B3" s="18"/>
      <c r="C3" s="18"/>
      <c r="D3" s="18"/>
      <c r="E3" s="18"/>
      <c r="F3" s="18"/>
      <c r="G3" s="18"/>
      <c r="H3" s="18"/>
      <c r="I3" s="18"/>
    </row>
    <row r="4" ht="53" spans="1:1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</row>
    <row r="5" s="8" customFormat="1" ht="20" customHeight="1" spans="1:15">
      <c r="A5" s="13">
        <v>1</v>
      </c>
      <c r="B5" s="13" t="s">
        <v>1856</v>
      </c>
      <c r="C5" s="13" t="s">
        <v>1857</v>
      </c>
      <c r="D5" s="13">
        <v>91.0212765957447</v>
      </c>
      <c r="E5" s="13">
        <v>88.9285714285714</v>
      </c>
      <c r="F5" s="13">
        <v>95</v>
      </c>
      <c r="G5" s="13">
        <v>6</v>
      </c>
      <c r="H5" s="13"/>
      <c r="I5" s="13">
        <f t="shared" ref="I5:I51" si="0">D5*0.3+E5*0.6+F5*0.1+G5-H5</f>
        <v>96.1635258358663</v>
      </c>
      <c r="J5" s="13"/>
      <c r="K5" s="13" t="s">
        <v>21</v>
      </c>
      <c r="L5" s="13"/>
      <c r="M5" s="13"/>
      <c r="N5" s="13"/>
      <c r="O5" s="13" t="s">
        <v>21</v>
      </c>
    </row>
    <row r="6" s="8" customFormat="1" ht="20" customHeight="1" spans="1:15">
      <c r="A6" s="13">
        <v>2</v>
      </c>
      <c r="B6" s="13" t="s">
        <v>1858</v>
      </c>
      <c r="C6" s="13" t="s">
        <v>1859</v>
      </c>
      <c r="D6" s="13">
        <v>92.7234042553192</v>
      </c>
      <c r="E6" s="13">
        <v>91.0714285714286</v>
      </c>
      <c r="F6" s="13">
        <v>94.5</v>
      </c>
      <c r="G6" s="13">
        <v>2</v>
      </c>
      <c r="H6" s="13"/>
      <c r="I6" s="13">
        <f t="shared" si="0"/>
        <v>93.9098784194529</v>
      </c>
      <c r="J6" s="13"/>
      <c r="K6" s="13" t="s">
        <v>21</v>
      </c>
      <c r="L6" s="13"/>
      <c r="M6" s="13"/>
      <c r="N6" s="13"/>
      <c r="O6" s="13" t="s">
        <v>21</v>
      </c>
    </row>
    <row r="7" s="8" customFormat="1" ht="20" customHeight="1" spans="1:15">
      <c r="A7" s="13">
        <v>3</v>
      </c>
      <c r="B7" s="13" t="s">
        <v>1860</v>
      </c>
      <c r="C7" s="13" t="s">
        <v>1861</v>
      </c>
      <c r="D7" s="13">
        <v>92.0425531914894</v>
      </c>
      <c r="E7" s="13">
        <v>86.3571428571429</v>
      </c>
      <c r="F7" s="13">
        <v>88.5</v>
      </c>
      <c r="G7" s="13">
        <v>3</v>
      </c>
      <c r="H7" s="13"/>
      <c r="I7" s="13">
        <f t="shared" si="0"/>
        <v>91.2770516717326</v>
      </c>
      <c r="J7" s="13"/>
      <c r="K7" s="13"/>
      <c r="L7" s="13"/>
      <c r="M7" s="13"/>
      <c r="N7" s="13"/>
      <c r="O7" s="13" t="s">
        <v>21</v>
      </c>
    </row>
    <row r="8" s="8" customFormat="1" ht="20" customHeight="1" spans="1:15">
      <c r="A8" s="13">
        <v>4</v>
      </c>
      <c r="B8" s="13" t="s">
        <v>1862</v>
      </c>
      <c r="C8" s="13" t="s">
        <v>1863</v>
      </c>
      <c r="D8" s="13">
        <v>91.4893617021277</v>
      </c>
      <c r="E8" s="13">
        <v>89.2142857142857</v>
      </c>
      <c r="F8" s="13">
        <v>91</v>
      </c>
      <c r="G8" s="13">
        <v>1</v>
      </c>
      <c r="H8" s="13"/>
      <c r="I8" s="13">
        <f t="shared" si="0"/>
        <v>91.0753799392097</v>
      </c>
      <c r="J8" s="13"/>
      <c r="K8" s="13"/>
      <c r="L8" s="13" t="s">
        <v>21</v>
      </c>
      <c r="M8" s="13"/>
      <c r="N8" s="13"/>
      <c r="O8" s="13"/>
    </row>
    <row r="9" s="8" customFormat="1" ht="20" customHeight="1" spans="1:15">
      <c r="A9" s="13">
        <v>5</v>
      </c>
      <c r="B9" s="13" t="s">
        <v>1864</v>
      </c>
      <c r="C9" s="13" t="s">
        <v>1865</v>
      </c>
      <c r="D9" s="13">
        <v>91.8297872340426</v>
      </c>
      <c r="E9" s="13">
        <v>88.3571428571429</v>
      </c>
      <c r="F9" s="13">
        <v>93</v>
      </c>
      <c r="G9" s="13"/>
      <c r="H9" s="13"/>
      <c r="I9" s="13">
        <f t="shared" si="0"/>
        <v>89.8632218844985</v>
      </c>
      <c r="J9" s="13"/>
      <c r="K9" s="13"/>
      <c r="L9" s="13" t="s">
        <v>21</v>
      </c>
      <c r="M9" s="13"/>
      <c r="N9" s="13"/>
      <c r="O9" s="13"/>
    </row>
    <row r="10" s="8" customFormat="1" ht="20" customHeight="1" spans="1:15">
      <c r="A10" s="13">
        <v>6</v>
      </c>
      <c r="B10" s="13" t="s">
        <v>1866</v>
      </c>
      <c r="C10" s="13" t="s">
        <v>1867</v>
      </c>
      <c r="D10" s="13">
        <v>90.5744680851064</v>
      </c>
      <c r="E10" s="13">
        <v>86.5714285714286</v>
      </c>
      <c r="F10" s="13">
        <v>97</v>
      </c>
      <c r="G10" s="13"/>
      <c r="H10" s="13"/>
      <c r="I10" s="13">
        <f t="shared" si="0"/>
        <v>88.8151975683891</v>
      </c>
      <c r="J10" s="13"/>
      <c r="K10" s="13"/>
      <c r="L10" s="13"/>
      <c r="M10" s="13" t="s">
        <v>21</v>
      </c>
      <c r="N10" s="13" t="s">
        <v>21</v>
      </c>
      <c r="O10" s="13"/>
    </row>
    <row r="11" s="8" customFormat="1" ht="20" customHeight="1" spans="1:15">
      <c r="A11" s="13">
        <v>7</v>
      </c>
      <c r="B11" s="13" t="s">
        <v>1868</v>
      </c>
      <c r="C11" s="13" t="s">
        <v>1869</v>
      </c>
      <c r="D11" s="13">
        <v>91.5531914893617</v>
      </c>
      <c r="E11" s="13">
        <v>85</v>
      </c>
      <c r="F11" s="13">
        <v>82</v>
      </c>
      <c r="G11" s="13">
        <v>2</v>
      </c>
      <c r="H11" s="13"/>
      <c r="I11" s="13">
        <f t="shared" si="0"/>
        <v>88.6659574468085</v>
      </c>
      <c r="J11" s="13"/>
      <c r="K11" s="13"/>
      <c r="L11" s="13"/>
      <c r="M11" s="13"/>
      <c r="N11" s="13"/>
      <c r="O11" s="13" t="s">
        <v>21</v>
      </c>
    </row>
    <row r="12" s="8" customFormat="1" ht="20" customHeight="1" spans="1:15">
      <c r="A12" s="13">
        <v>8</v>
      </c>
      <c r="B12" s="13" t="s">
        <v>1870</v>
      </c>
      <c r="C12" s="13" t="s">
        <v>1871</v>
      </c>
      <c r="D12" s="13">
        <v>91.2978723404255</v>
      </c>
      <c r="E12" s="13">
        <v>86.2857142857143</v>
      </c>
      <c r="F12" s="13">
        <v>92.5</v>
      </c>
      <c r="G12" s="13"/>
      <c r="H12" s="13"/>
      <c r="I12" s="13">
        <f t="shared" si="0"/>
        <v>88.4107902735562</v>
      </c>
      <c r="J12" s="13"/>
      <c r="K12" s="13"/>
      <c r="L12" s="13"/>
      <c r="M12" s="13"/>
      <c r="N12" s="13" t="s">
        <v>21</v>
      </c>
      <c r="O12" s="13"/>
    </row>
    <row r="13" s="8" customFormat="1" ht="20" customHeight="1" spans="1:15">
      <c r="A13" s="13">
        <v>9</v>
      </c>
      <c r="B13" s="13" t="s">
        <v>1872</v>
      </c>
      <c r="C13" s="13" t="s">
        <v>1873</v>
      </c>
      <c r="D13" s="13">
        <v>91.7021276595745</v>
      </c>
      <c r="E13" s="13">
        <v>85.5714285714286</v>
      </c>
      <c r="F13" s="13">
        <v>85.5</v>
      </c>
      <c r="G13" s="13">
        <v>1</v>
      </c>
      <c r="H13" s="13"/>
      <c r="I13" s="13">
        <f t="shared" si="0"/>
        <v>88.4034954407295</v>
      </c>
      <c r="J13" s="13"/>
      <c r="K13" s="13"/>
      <c r="L13" s="13"/>
      <c r="M13" s="13"/>
      <c r="N13" s="13"/>
      <c r="O13" s="13"/>
    </row>
    <row r="14" s="8" customFormat="1" ht="20" customHeight="1" spans="1:15">
      <c r="A14" s="13">
        <v>10</v>
      </c>
      <c r="B14" s="13" t="s">
        <v>1874</v>
      </c>
      <c r="C14" s="13" t="s">
        <v>1875</v>
      </c>
      <c r="D14" s="13">
        <v>91.8936170212766</v>
      </c>
      <c r="E14" s="13">
        <v>86.0714285714286</v>
      </c>
      <c r="F14" s="13">
        <v>90.5</v>
      </c>
      <c r="G14" s="13"/>
      <c r="H14" s="13"/>
      <c r="I14" s="13">
        <f t="shared" si="0"/>
        <v>88.2609422492401</v>
      </c>
      <c r="J14" s="13"/>
      <c r="K14" s="13"/>
      <c r="L14" s="13"/>
      <c r="M14" s="13"/>
      <c r="N14" s="13" t="s">
        <v>21</v>
      </c>
      <c r="O14" s="13"/>
    </row>
    <row r="15" s="8" customFormat="1" ht="20" customHeight="1" spans="1:15">
      <c r="A15" s="13">
        <v>11</v>
      </c>
      <c r="B15" s="13" t="s">
        <v>1876</v>
      </c>
      <c r="C15" s="13" t="s">
        <v>1877</v>
      </c>
      <c r="D15" s="13">
        <v>91.0851063829787</v>
      </c>
      <c r="E15" s="13">
        <v>84</v>
      </c>
      <c r="F15" s="13">
        <v>94</v>
      </c>
      <c r="G15" s="13">
        <v>1</v>
      </c>
      <c r="H15" s="13">
        <v>0.5</v>
      </c>
      <c r="I15" s="13">
        <f t="shared" si="0"/>
        <v>87.6255319148936</v>
      </c>
      <c r="J15" s="13"/>
      <c r="K15" s="13"/>
      <c r="L15" s="13"/>
      <c r="M15" s="13"/>
      <c r="N15" s="13" t="s">
        <v>21</v>
      </c>
      <c r="O15" s="13"/>
    </row>
    <row r="16" s="8" customFormat="1" ht="20" customHeight="1" spans="1:15">
      <c r="A16" s="13">
        <v>12</v>
      </c>
      <c r="B16" s="13" t="s">
        <v>1878</v>
      </c>
      <c r="C16" s="13" t="s">
        <v>1879</v>
      </c>
      <c r="D16" s="13">
        <v>90.1489361702128</v>
      </c>
      <c r="E16" s="13">
        <v>84.4285714285714</v>
      </c>
      <c r="F16" s="13">
        <v>88.5</v>
      </c>
      <c r="G16" s="13">
        <v>1</v>
      </c>
      <c r="H16" s="13"/>
      <c r="I16" s="13">
        <f t="shared" si="0"/>
        <v>87.5518237082067</v>
      </c>
      <c r="J16" s="13"/>
      <c r="K16" s="13"/>
      <c r="L16" s="13"/>
      <c r="M16" s="13"/>
      <c r="N16" s="13"/>
      <c r="O16" s="13" t="s">
        <v>21</v>
      </c>
    </row>
    <row r="17" s="8" customFormat="1" ht="20" customHeight="1" spans="1:15">
      <c r="A17" s="13">
        <v>13</v>
      </c>
      <c r="B17" s="13" t="s">
        <v>1880</v>
      </c>
      <c r="C17" s="13" t="s">
        <v>1881</v>
      </c>
      <c r="D17" s="13">
        <v>90.6808510638298</v>
      </c>
      <c r="E17" s="13">
        <v>86.0714285714286</v>
      </c>
      <c r="F17" s="13">
        <v>87</v>
      </c>
      <c r="G17" s="13"/>
      <c r="H17" s="13"/>
      <c r="I17" s="13">
        <f t="shared" si="0"/>
        <v>87.5471124620061</v>
      </c>
      <c r="J17" s="13"/>
      <c r="K17" s="13"/>
      <c r="L17" s="13"/>
      <c r="M17" s="13"/>
      <c r="N17" s="13"/>
      <c r="O17" s="13"/>
    </row>
    <row r="18" s="8" customFormat="1" ht="20" customHeight="1" spans="1:15">
      <c r="A18" s="13">
        <v>14</v>
      </c>
      <c r="B18" s="13" t="s">
        <v>1882</v>
      </c>
      <c r="C18" s="13" t="s">
        <v>1883</v>
      </c>
      <c r="D18" s="13">
        <v>90.6170212765958</v>
      </c>
      <c r="E18" s="13">
        <v>85.3571428571429</v>
      </c>
      <c r="F18" s="13">
        <v>89.5</v>
      </c>
      <c r="G18" s="13"/>
      <c r="H18" s="13"/>
      <c r="I18" s="13">
        <f t="shared" si="0"/>
        <v>87.3493920972645</v>
      </c>
      <c r="J18" s="13"/>
      <c r="K18" s="13"/>
      <c r="L18" s="13"/>
      <c r="M18" s="13"/>
      <c r="N18" s="13"/>
      <c r="O18" s="13"/>
    </row>
    <row r="19" s="8" customFormat="1" ht="20" customHeight="1" spans="1:15">
      <c r="A19" s="13">
        <v>15</v>
      </c>
      <c r="B19" s="13" t="s">
        <v>1884</v>
      </c>
      <c r="C19" s="13" t="s">
        <v>1885</v>
      </c>
      <c r="D19" s="13">
        <v>89.8723404255319</v>
      </c>
      <c r="E19" s="13">
        <v>85.5714285714286</v>
      </c>
      <c r="F19" s="13">
        <v>86.5</v>
      </c>
      <c r="G19" s="13"/>
      <c r="H19" s="13"/>
      <c r="I19" s="13">
        <f t="shared" si="0"/>
        <v>86.9545592705167</v>
      </c>
      <c r="J19" s="13"/>
      <c r="K19" s="13"/>
      <c r="L19" s="13"/>
      <c r="M19" s="13"/>
      <c r="N19" s="13"/>
      <c r="O19" s="13"/>
    </row>
    <row r="20" s="8" customFormat="1" ht="20" customHeight="1" spans="1:15">
      <c r="A20" s="13">
        <v>16</v>
      </c>
      <c r="B20" s="13" t="s">
        <v>1886</v>
      </c>
      <c r="C20" s="13" t="s">
        <v>1887</v>
      </c>
      <c r="D20" s="13">
        <v>91.9148936170213</v>
      </c>
      <c r="E20" s="13">
        <v>84.6428571428571</v>
      </c>
      <c r="F20" s="13">
        <v>85</v>
      </c>
      <c r="G20" s="13"/>
      <c r="H20" s="13"/>
      <c r="I20" s="13">
        <f t="shared" si="0"/>
        <v>86.8601823708207</v>
      </c>
      <c r="J20" s="13"/>
      <c r="K20" s="13"/>
      <c r="L20" s="13"/>
      <c r="M20" s="13"/>
      <c r="N20" s="13"/>
      <c r="O20" s="13"/>
    </row>
    <row r="21" s="8" customFormat="1" ht="20" customHeight="1" spans="1:15">
      <c r="A21" s="13">
        <v>17</v>
      </c>
      <c r="B21" s="13" t="s">
        <v>1888</v>
      </c>
      <c r="C21" s="13" t="s">
        <v>1889</v>
      </c>
      <c r="D21" s="13">
        <v>90.5957446808511</v>
      </c>
      <c r="E21" s="13">
        <v>84.5714285714286</v>
      </c>
      <c r="F21" s="13">
        <v>86.5</v>
      </c>
      <c r="G21" s="13"/>
      <c r="H21" s="13"/>
      <c r="I21" s="13">
        <f t="shared" si="0"/>
        <v>86.5715805471125</v>
      </c>
      <c r="J21" s="13"/>
      <c r="K21" s="13"/>
      <c r="L21" s="13"/>
      <c r="M21" s="13"/>
      <c r="N21" s="13"/>
      <c r="O21" s="13"/>
    </row>
    <row r="22" s="8" customFormat="1" ht="20" customHeight="1" spans="1:15">
      <c r="A22" s="13">
        <v>18</v>
      </c>
      <c r="B22" s="13" t="s">
        <v>1890</v>
      </c>
      <c r="C22" s="13" t="s">
        <v>1891</v>
      </c>
      <c r="D22" s="13">
        <v>90.936170212766</v>
      </c>
      <c r="E22" s="13">
        <v>84.2142857142857</v>
      </c>
      <c r="F22" s="13">
        <v>85.5</v>
      </c>
      <c r="G22" s="13"/>
      <c r="H22" s="13"/>
      <c r="I22" s="13">
        <f t="shared" si="0"/>
        <v>86.3594224924012</v>
      </c>
      <c r="J22" s="13"/>
      <c r="K22" s="13"/>
      <c r="L22" s="13"/>
      <c r="M22" s="13"/>
      <c r="N22" s="13"/>
      <c r="O22" s="13"/>
    </row>
    <row r="23" s="8" customFormat="1" ht="20" customHeight="1" spans="1:15">
      <c r="A23" s="14">
        <v>19</v>
      </c>
      <c r="B23" s="14" t="s">
        <v>1892</v>
      </c>
      <c r="C23" s="14" t="s">
        <v>1893</v>
      </c>
      <c r="D23" s="14">
        <v>90.8510638297872</v>
      </c>
      <c r="E23" s="14">
        <v>87.7857142857143</v>
      </c>
      <c r="F23" s="14">
        <v>84</v>
      </c>
      <c r="G23" s="14"/>
      <c r="H23" s="14">
        <v>2</v>
      </c>
      <c r="I23" s="14">
        <f t="shared" si="0"/>
        <v>86.3267477203648</v>
      </c>
      <c r="J23" s="14"/>
      <c r="K23" s="14"/>
      <c r="L23" s="14"/>
      <c r="M23" s="14"/>
      <c r="N23" s="14"/>
      <c r="O23" s="14"/>
    </row>
    <row r="24" s="8" customFormat="1" ht="20" customHeight="1" spans="1:15">
      <c r="A24" s="14">
        <v>20</v>
      </c>
      <c r="B24" s="14" t="s">
        <v>1894</v>
      </c>
      <c r="C24" s="14" t="s">
        <v>1895</v>
      </c>
      <c r="D24" s="14">
        <v>90.2978723404255</v>
      </c>
      <c r="E24" s="14">
        <v>83.5</v>
      </c>
      <c r="F24" s="14">
        <v>87.5</v>
      </c>
      <c r="G24" s="14"/>
      <c r="H24" s="14"/>
      <c r="I24" s="14">
        <f t="shared" si="0"/>
        <v>85.9393617021277</v>
      </c>
      <c r="J24" s="14"/>
      <c r="K24" s="14"/>
      <c r="L24" s="14"/>
      <c r="M24" s="14"/>
      <c r="N24" s="14"/>
      <c r="O24" s="14"/>
    </row>
    <row r="25" s="8" customFormat="1" ht="20" customHeight="1" spans="1:15">
      <c r="A25" s="14">
        <v>21</v>
      </c>
      <c r="B25" s="14" t="s">
        <v>1896</v>
      </c>
      <c r="C25" s="14" t="s">
        <v>1897</v>
      </c>
      <c r="D25" s="14">
        <v>89.7446808510638</v>
      </c>
      <c r="E25" s="14">
        <v>84</v>
      </c>
      <c r="F25" s="14">
        <v>85.5</v>
      </c>
      <c r="G25" s="14">
        <v>2</v>
      </c>
      <c r="H25" s="14">
        <v>2</v>
      </c>
      <c r="I25" s="14">
        <f t="shared" si="0"/>
        <v>85.8734042553191</v>
      </c>
      <c r="J25" s="14"/>
      <c r="K25" s="14"/>
      <c r="L25" s="14"/>
      <c r="M25" s="14"/>
      <c r="N25" s="14"/>
      <c r="O25" s="14"/>
    </row>
    <row r="26" s="8" customFormat="1" ht="20" customHeight="1" spans="1:15">
      <c r="A26" s="14">
        <v>22</v>
      </c>
      <c r="B26" s="14" t="s">
        <v>1898</v>
      </c>
      <c r="C26" s="14" t="s">
        <v>1899</v>
      </c>
      <c r="D26" s="14">
        <v>90.7872340425532</v>
      </c>
      <c r="E26" s="14">
        <v>82</v>
      </c>
      <c r="F26" s="14">
        <v>88</v>
      </c>
      <c r="G26" s="14"/>
      <c r="H26" s="14"/>
      <c r="I26" s="14">
        <f t="shared" si="0"/>
        <v>85.236170212766</v>
      </c>
      <c r="J26" s="14"/>
      <c r="K26" s="14"/>
      <c r="L26" s="14"/>
      <c r="M26" s="14"/>
      <c r="N26" s="14"/>
      <c r="O26" s="14"/>
    </row>
    <row r="27" s="8" customFormat="1" ht="20" customHeight="1" spans="1:15">
      <c r="A27" s="14">
        <v>23</v>
      </c>
      <c r="B27" s="14" t="s">
        <v>1900</v>
      </c>
      <c r="C27" s="14" t="s">
        <v>1901</v>
      </c>
      <c r="D27" s="14">
        <v>91.0851063829787</v>
      </c>
      <c r="E27" s="14">
        <v>84.9285714285714</v>
      </c>
      <c r="F27" s="14">
        <v>89</v>
      </c>
      <c r="G27" s="14"/>
      <c r="H27" s="14">
        <v>2</v>
      </c>
      <c r="I27" s="14">
        <f t="shared" si="0"/>
        <v>85.1826747720364</v>
      </c>
      <c r="J27" s="14"/>
      <c r="K27" s="14"/>
      <c r="L27" s="14"/>
      <c r="M27" s="14"/>
      <c r="N27" s="14"/>
      <c r="O27" s="14"/>
    </row>
    <row r="28" s="8" customFormat="1" ht="20" customHeight="1" spans="1:15">
      <c r="A28" s="14">
        <v>24</v>
      </c>
      <c r="B28" s="14" t="s">
        <v>1902</v>
      </c>
      <c r="C28" s="14" t="s">
        <v>1903</v>
      </c>
      <c r="D28" s="14">
        <v>90.6382978723404</v>
      </c>
      <c r="E28" s="14">
        <v>83.3571428571429</v>
      </c>
      <c r="F28" s="14">
        <v>79.5</v>
      </c>
      <c r="G28" s="14"/>
      <c r="H28" s="14"/>
      <c r="I28" s="14">
        <f t="shared" si="0"/>
        <v>85.1557750759879</v>
      </c>
      <c r="J28" s="14"/>
      <c r="K28" s="14"/>
      <c r="L28" s="14"/>
      <c r="M28" s="14"/>
      <c r="N28" s="14"/>
      <c r="O28" s="14"/>
    </row>
    <row r="29" s="8" customFormat="1" ht="20" customHeight="1" spans="1:15">
      <c r="A29" s="14">
        <v>25</v>
      </c>
      <c r="B29" s="14" t="s">
        <v>1904</v>
      </c>
      <c r="C29" s="14" t="s">
        <v>1905</v>
      </c>
      <c r="D29" s="14">
        <v>90.8723404255319</v>
      </c>
      <c r="E29" s="14">
        <v>81.4285714285714</v>
      </c>
      <c r="F29" s="14">
        <v>89.5</v>
      </c>
      <c r="G29" s="14"/>
      <c r="H29" s="14"/>
      <c r="I29" s="14">
        <f t="shared" si="0"/>
        <v>85.0688449848024</v>
      </c>
      <c r="J29" s="14"/>
      <c r="K29" s="14"/>
      <c r="L29" s="14"/>
      <c r="M29" s="14"/>
      <c r="N29" s="14"/>
      <c r="O29" s="14"/>
    </row>
    <row r="30" s="8" customFormat="1" ht="20" customHeight="1" spans="1:15">
      <c r="A30" s="14">
        <v>26</v>
      </c>
      <c r="B30" s="14" t="s">
        <v>1906</v>
      </c>
      <c r="C30" s="14" t="s">
        <v>1907</v>
      </c>
      <c r="D30" s="14">
        <v>90.6808510638298</v>
      </c>
      <c r="E30" s="14">
        <v>82.8571428571429</v>
      </c>
      <c r="F30" s="14">
        <v>81</v>
      </c>
      <c r="G30" s="14"/>
      <c r="H30" s="14"/>
      <c r="I30" s="14">
        <f t="shared" si="0"/>
        <v>85.0185410334347</v>
      </c>
      <c r="J30" s="14"/>
      <c r="K30" s="14"/>
      <c r="L30" s="14"/>
      <c r="M30" s="14"/>
      <c r="N30" s="14"/>
      <c r="O30" s="14"/>
    </row>
    <row r="31" s="8" customFormat="1" ht="20" customHeight="1" spans="1:15">
      <c r="A31" s="14">
        <v>27</v>
      </c>
      <c r="B31" s="14" t="s">
        <v>1908</v>
      </c>
      <c r="C31" s="14" t="s">
        <v>1909</v>
      </c>
      <c r="D31" s="14">
        <v>90.4468085106383</v>
      </c>
      <c r="E31" s="14">
        <v>81</v>
      </c>
      <c r="F31" s="14">
        <v>87</v>
      </c>
      <c r="G31" s="14"/>
      <c r="H31" s="14"/>
      <c r="I31" s="14">
        <f t="shared" si="0"/>
        <v>84.4340425531915</v>
      </c>
      <c r="J31" s="14"/>
      <c r="K31" s="14"/>
      <c r="L31" s="14"/>
      <c r="M31" s="14"/>
      <c r="N31" s="14"/>
      <c r="O31" s="14"/>
    </row>
    <row r="32" s="8" customFormat="1" ht="20" customHeight="1" spans="1:15">
      <c r="A32" s="14">
        <v>28</v>
      </c>
      <c r="B32" s="14" t="s">
        <v>1910</v>
      </c>
      <c r="C32" s="14" t="s">
        <v>1911</v>
      </c>
      <c r="D32" s="14">
        <v>90.3191489361702</v>
      </c>
      <c r="E32" s="14">
        <v>80.8571428571429</v>
      </c>
      <c r="F32" s="14">
        <v>88</v>
      </c>
      <c r="G32" s="14"/>
      <c r="H32" s="14"/>
      <c r="I32" s="14">
        <f t="shared" si="0"/>
        <v>84.4100303951368</v>
      </c>
      <c r="J32" s="14"/>
      <c r="K32" s="14"/>
      <c r="L32" s="14"/>
      <c r="M32" s="14"/>
      <c r="N32" s="14"/>
      <c r="O32" s="14"/>
    </row>
    <row r="33" s="8" customFormat="1" ht="20" customHeight="1" spans="1:15">
      <c r="A33" s="14">
        <v>29</v>
      </c>
      <c r="B33" s="14" t="s">
        <v>1912</v>
      </c>
      <c r="C33" s="14" t="s">
        <v>1913</v>
      </c>
      <c r="D33" s="14">
        <v>91.3617021276596</v>
      </c>
      <c r="E33" s="14">
        <v>83.1428571428571</v>
      </c>
      <c r="F33" s="14">
        <v>90</v>
      </c>
      <c r="G33" s="14"/>
      <c r="H33" s="14">
        <v>2</v>
      </c>
      <c r="I33" s="14">
        <f t="shared" si="0"/>
        <v>84.2942249240121</v>
      </c>
      <c r="J33" s="14"/>
      <c r="K33" s="14"/>
      <c r="L33" s="14"/>
      <c r="M33" s="14"/>
      <c r="N33" s="14"/>
      <c r="O33" s="14"/>
    </row>
    <row r="34" s="8" customFormat="1" ht="20" customHeight="1" spans="1:15">
      <c r="A34" s="14">
        <v>30</v>
      </c>
      <c r="B34" s="14" t="s">
        <v>1914</v>
      </c>
      <c r="C34" s="14" t="s">
        <v>1915</v>
      </c>
      <c r="D34" s="14">
        <v>89.7234042553192</v>
      </c>
      <c r="E34" s="14">
        <v>80.6428571428571</v>
      </c>
      <c r="F34" s="14">
        <v>87</v>
      </c>
      <c r="G34" s="14"/>
      <c r="H34" s="14"/>
      <c r="I34" s="14">
        <f t="shared" si="0"/>
        <v>84.00273556231</v>
      </c>
      <c r="J34" s="14"/>
      <c r="K34" s="14"/>
      <c r="L34" s="14"/>
      <c r="M34" s="14"/>
      <c r="N34" s="14"/>
      <c r="O34" s="14"/>
    </row>
    <row r="35" s="8" customFormat="1" ht="20" customHeight="1" spans="1:15">
      <c r="A35" s="14">
        <v>31</v>
      </c>
      <c r="B35" s="14" t="s">
        <v>1916</v>
      </c>
      <c r="C35" s="14" t="s">
        <v>1917</v>
      </c>
      <c r="D35" s="14">
        <v>90.7872340425532</v>
      </c>
      <c r="E35" s="14">
        <v>79.5</v>
      </c>
      <c r="F35" s="14">
        <v>89.5</v>
      </c>
      <c r="G35" s="14"/>
      <c r="H35" s="14"/>
      <c r="I35" s="14">
        <f t="shared" si="0"/>
        <v>83.886170212766</v>
      </c>
      <c r="J35" s="14"/>
      <c r="K35" s="14"/>
      <c r="L35" s="14"/>
      <c r="M35" s="14"/>
      <c r="N35" s="14"/>
      <c r="O35" s="14"/>
    </row>
    <row r="36" s="8" customFormat="1" ht="20" customHeight="1" spans="1:15">
      <c r="A36" s="14">
        <v>32</v>
      </c>
      <c r="B36" s="14" t="s">
        <v>1918</v>
      </c>
      <c r="C36" s="14" t="s">
        <v>1919</v>
      </c>
      <c r="D36" s="14">
        <v>90.8723404255319</v>
      </c>
      <c r="E36" s="14">
        <v>80.2857142857143</v>
      </c>
      <c r="F36" s="14">
        <v>80.5</v>
      </c>
      <c r="G36" s="14"/>
      <c r="H36" s="14"/>
      <c r="I36" s="14">
        <f t="shared" si="0"/>
        <v>83.4831306990881</v>
      </c>
      <c r="J36" s="14"/>
      <c r="K36" s="14"/>
      <c r="L36" s="14"/>
      <c r="M36" s="14"/>
      <c r="N36" s="14"/>
      <c r="O36" s="14"/>
    </row>
    <row r="37" s="8" customFormat="1" ht="20" customHeight="1" spans="1:15">
      <c r="A37" s="14">
        <v>33</v>
      </c>
      <c r="B37" s="14" t="s">
        <v>1920</v>
      </c>
      <c r="C37" s="14" t="s">
        <v>1921</v>
      </c>
      <c r="D37" s="14">
        <v>90.6595744680851</v>
      </c>
      <c r="E37" s="14">
        <v>78.6428571428571</v>
      </c>
      <c r="F37" s="14">
        <v>84</v>
      </c>
      <c r="G37" s="14">
        <v>1</v>
      </c>
      <c r="H37" s="14">
        <v>0.5</v>
      </c>
      <c r="I37" s="14">
        <f t="shared" si="0"/>
        <v>83.2835866261398</v>
      </c>
      <c r="J37" s="14"/>
      <c r="K37" s="14"/>
      <c r="L37" s="14"/>
      <c r="M37" s="14"/>
      <c r="N37" s="14"/>
      <c r="O37" s="14"/>
    </row>
    <row r="38" s="8" customFormat="1" ht="20" customHeight="1" spans="1:15">
      <c r="A38" s="14">
        <v>34</v>
      </c>
      <c r="B38" s="14" t="s">
        <v>1922</v>
      </c>
      <c r="C38" s="14" t="s">
        <v>1923</v>
      </c>
      <c r="D38" s="14">
        <v>90.2978723404255</v>
      </c>
      <c r="E38" s="14">
        <v>79.5</v>
      </c>
      <c r="F38" s="14">
        <v>83.5</v>
      </c>
      <c r="G38" s="14">
        <v>1</v>
      </c>
      <c r="H38" s="14">
        <v>2</v>
      </c>
      <c r="I38" s="14">
        <f t="shared" si="0"/>
        <v>82.1393617021276</v>
      </c>
      <c r="J38" s="14"/>
      <c r="K38" s="14"/>
      <c r="L38" s="14"/>
      <c r="M38" s="14"/>
      <c r="N38" s="14"/>
      <c r="O38" s="14"/>
    </row>
    <row r="39" s="8" customFormat="1" ht="20" customHeight="1" spans="1:15">
      <c r="A39" s="14">
        <v>35</v>
      </c>
      <c r="B39" s="14" t="s">
        <v>1924</v>
      </c>
      <c r="C39" s="14" t="s">
        <v>1820</v>
      </c>
      <c r="D39" s="14">
        <v>90.9148936170213</v>
      </c>
      <c r="E39" s="14">
        <v>83.9285714285714</v>
      </c>
      <c r="F39" s="14">
        <v>83.5</v>
      </c>
      <c r="G39" s="14"/>
      <c r="H39" s="14">
        <v>4</v>
      </c>
      <c r="I39" s="14">
        <f t="shared" si="0"/>
        <v>81.9816109422492</v>
      </c>
      <c r="J39" s="14"/>
      <c r="K39" s="14"/>
      <c r="L39" s="14"/>
      <c r="M39" s="14"/>
      <c r="N39" s="14"/>
      <c r="O39" s="14"/>
    </row>
    <row r="40" s="8" customFormat="1" ht="20" customHeight="1" spans="1:15">
      <c r="A40" s="14">
        <v>36</v>
      </c>
      <c r="B40" s="14" t="s">
        <v>1925</v>
      </c>
      <c r="C40" s="14" t="s">
        <v>1926</v>
      </c>
      <c r="D40" s="14">
        <v>90.3829787234042</v>
      </c>
      <c r="E40" s="14">
        <v>80.5714285714286</v>
      </c>
      <c r="F40" s="14">
        <v>88</v>
      </c>
      <c r="G40" s="14"/>
      <c r="H40" s="14">
        <v>2.5</v>
      </c>
      <c r="I40" s="14">
        <f t="shared" si="0"/>
        <v>81.7577507598784</v>
      </c>
      <c r="J40" s="14"/>
      <c r="K40" s="14"/>
      <c r="L40" s="14"/>
      <c r="M40" s="14"/>
      <c r="N40" s="14"/>
      <c r="O40" s="14"/>
    </row>
    <row r="41" s="8" customFormat="1" ht="20" customHeight="1" spans="1:15">
      <c r="A41" s="14">
        <v>37</v>
      </c>
      <c r="B41" s="14" t="s">
        <v>1927</v>
      </c>
      <c r="C41" s="14" t="s">
        <v>1928</v>
      </c>
      <c r="D41" s="14">
        <v>90.7446808510638</v>
      </c>
      <c r="E41" s="14">
        <v>81.9285714285714</v>
      </c>
      <c r="F41" s="14">
        <v>78</v>
      </c>
      <c r="G41" s="14"/>
      <c r="H41" s="14">
        <v>2.5</v>
      </c>
      <c r="I41" s="14">
        <f t="shared" si="0"/>
        <v>81.680547112462</v>
      </c>
      <c r="J41" s="14"/>
      <c r="K41" s="14"/>
      <c r="L41" s="14"/>
      <c r="M41" s="14"/>
      <c r="N41" s="14"/>
      <c r="O41" s="14"/>
    </row>
    <row r="42" s="8" customFormat="1" ht="20" customHeight="1" spans="1:15">
      <c r="A42" s="14">
        <v>38</v>
      </c>
      <c r="B42" s="14" t="s">
        <v>1929</v>
      </c>
      <c r="C42" s="14" t="s">
        <v>1930</v>
      </c>
      <c r="D42" s="14">
        <v>89.7234042553192</v>
      </c>
      <c r="E42" s="14">
        <v>78.6428571428571</v>
      </c>
      <c r="F42" s="14">
        <v>84.5</v>
      </c>
      <c r="G42" s="14"/>
      <c r="H42" s="14">
        <v>1</v>
      </c>
      <c r="I42" s="14">
        <f t="shared" si="0"/>
        <v>81.55273556231</v>
      </c>
      <c r="J42" s="14"/>
      <c r="K42" s="14"/>
      <c r="L42" s="14"/>
      <c r="M42" s="14"/>
      <c r="N42" s="14"/>
      <c r="O42" s="14"/>
    </row>
    <row r="43" s="8" customFormat="1" ht="20" customHeight="1" spans="1:15">
      <c r="A43" s="14">
        <v>39</v>
      </c>
      <c r="B43" s="14" t="s">
        <v>1931</v>
      </c>
      <c r="C43" s="14" t="s">
        <v>1932</v>
      </c>
      <c r="D43" s="14">
        <v>91.1489361702128</v>
      </c>
      <c r="E43" s="14">
        <v>81.5714285714286</v>
      </c>
      <c r="F43" s="14">
        <v>85</v>
      </c>
      <c r="G43" s="14"/>
      <c r="H43" s="14">
        <v>4</v>
      </c>
      <c r="I43" s="14">
        <f t="shared" si="0"/>
        <v>80.787537993921</v>
      </c>
      <c r="J43" s="14"/>
      <c r="K43" s="14"/>
      <c r="L43" s="14"/>
      <c r="M43" s="14"/>
      <c r="N43" s="14"/>
      <c r="O43" s="14"/>
    </row>
    <row r="44" s="8" customFormat="1" ht="20" customHeight="1" spans="1:15">
      <c r="A44" s="14">
        <v>40</v>
      </c>
      <c r="B44" s="14" t="s">
        <v>1933</v>
      </c>
      <c r="C44" s="14" t="s">
        <v>1934</v>
      </c>
      <c r="D44" s="14">
        <v>89.8510638297872</v>
      </c>
      <c r="E44" s="14">
        <v>83.6428571428571</v>
      </c>
      <c r="F44" s="14">
        <v>88</v>
      </c>
      <c r="G44" s="14"/>
      <c r="H44" s="14">
        <v>6</v>
      </c>
      <c r="I44" s="14">
        <f t="shared" si="0"/>
        <v>79.9410334346504</v>
      </c>
      <c r="J44" s="14"/>
      <c r="K44" s="14"/>
      <c r="L44" s="14"/>
      <c r="M44" s="14"/>
      <c r="N44" s="14"/>
      <c r="O44" s="14"/>
    </row>
    <row r="45" s="8" customFormat="1" ht="20" customHeight="1" spans="1:15">
      <c r="A45" s="14">
        <v>41</v>
      </c>
      <c r="B45" s="14" t="s">
        <v>1935</v>
      </c>
      <c r="C45" s="14" t="s">
        <v>1936</v>
      </c>
      <c r="D45" s="14">
        <v>90.3191489361702</v>
      </c>
      <c r="E45" s="14">
        <v>77.0714285714286</v>
      </c>
      <c r="F45" s="14">
        <v>73.5</v>
      </c>
      <c r="G45" s="14"/>
      <c r="H45" s="14">
        <v>2.5</v>
      </c>
      <c r="I45" s="14">
        <f t="shared" si="0"/>
        <v>78.1886018237082</v>
      </c>
      <c r="J45" s="14"/>
      <c r="K45" s="14"/>
      <c r="L45" s="14"/>
      <c r="M45" s="14"/>
      <c r="N45" s="14"/>
      <c r="O45" s="14"/>
    </row>
    <row r="46" s="8" customFormat="1" ht="20" customHeight="1" spans="1:15">
      <c r="A46" s="14">
        <v>42</v>
      </c>
      <c r="B46" s="14" t="s">
        <v>1937</v>
      </c>
      <c r="C46" s="14" t="s">
        <v>1938</v>
      </c>
      <c r="D46" s="14">
        <v>89.0851063829787</v>
      </c>
      <c r="E46" s="14">
        <v>81.2142857142857</v>
      </c>
      <c r="F46" s="14">
        <v>84</v>
      </c>
      <c r="G46" s="14"/>
      <c r="H46" s="14">
        <v>6</v>
      </c>
      <c r="I46" s="14">
        <f t="shared" si="0"/>
        <v>77.854103343465</v>
      </c>
      <c r="J46" s="14"/>
      <c r="K46" s="14"/>
      <c r="L46" s="14"/>
      <c r="M46" s="14"/>
      <c r="N46" s="14"/>
      <c r="O46" s="14"/>
    </row>
    <row r="47" s="8" customFormat="1" ht="20" customHeight="1" spans="1:15">
      <c r="A47" s="14">
        <v>43</v>
      </c>
      <c r="B47" s="14" t="s">
        <v>1939</v>
      </c>
      <c r="C47" s="14" t="s">
        <v>1940</v>
      </c>
      <c r="D47" s="14">
        <v>90.1276595744681</v>
      </c>
      <c r="E47" s="14">
        <v>78.4285714285714</v>
      </c>
      <c r="F47" s="14">
        <v>86</v>
      </c>
      <c r="G47" s="14"/>
      <c r="H47" s="14">
        <v>6.5</v>
      </c>
      <c r="I47" s="14">
        <f t="shared" si="0"/>
        <v>76.1954407294833</v>
      </c>
      <c r="J47" s="14"/>
      <c r="K47" s="14"/>
      <c r="L47" s="14"/>
      <c r="M47" s="14"/>
      <c r="N47" s="14"/>
      <c r="O47" s="14"/>
    </row>
    <row r="48" s="8" customFormat="1" ht="20" customHeight="1" spans="1:15">
      <c r="A48" s="14">
        <v>44</v>
      </c>
      <c r="B48" s="14" t="s">
        <v>1941</v>
      </c>
      <c r="C48" s="14" t="s">
        <v>1942</v>
      </c>
      <c r="D48" s="14">
        <v>91.2553191489362</v>
      </c>
      <c r="E48" s="14">
        <v>79</v>
      </c>
      <c r="F48" s="14">
        <v>87.5</v>
      </c>
      <c r="G48" s="14"/>
      <c r="H48" s="14">
        <v>22</v>
      </c>
      <c r="I48" s="14">
        <f t="shared" si="0"/>
        <v>61.5265957446809</v>
      </c>
      <c r="J48" s="14"/>
      <c r="K48" s="14"/>
      <c r="L48" s="14"/>
      <c r="M48" s="14"/>
      <c r="N48" s="14"/>
      <c r="O48" s="14"/>
    </row>
    <row r="49" s="8" customFormat="1" ht="20" customHeight="1" spans="1:15">
      <c r="A49" s="14">
        <v>45</v>
      </c>
      <c r="B49" s="14" t="s">
        <v>1943</v>
      </c>
      <c r="C49" s="14" t="s">
        <v>1944</v>
      </c>
      <c r="D49" s="14">
        <v>90.5744680851064</v>
      </c>
      <c r="E49" s="14">
        <v>83.2142857142857</v>
      </c>
      <c r="F49" s="14">
        <v>83</v>
      </c>
      <c r="G49" s="14"/>
      <c r="H49" s="14">
        <v>25</v>
      </c>
      <c r="I49" s="14">
        <f t="shared" si="0"/>
        <v>60.4009118541033</v>
      </c>
      <c r="J49" s="14"/>
      <c r="K49" s="14"/>
      <c r="L49" s="14"/>
      <c r="M49" s="14"/>
      <c r="N49" s="14"/>
      <c r="O49" s="14"/>
    </row>
    <row r="50" s="8" customFormat="1" ht="20" customHeight="1" spans="1:15">
      <c r="A50" s="14">
        <v>46</v>
      </c>
      <c r="B50" s="14" t="s">
        <v>1945</v>
      </c>
      <c r="C50" s="14" t="s">
        <v>1946</v>
      </c>
      <c r="D50" s="14">
        <v>91.2978723404255</v>
      </c>
      <c r="E50" s="14">
        <v>82</v>
      </c>
      <c r="F50" s="14">
        <v>93.5</v>
      </c>
      <c r="G50" s="14">
        <v>1</v>
      </c>
      <c r="H50" s="14">
        <v>27</v>
      </c>
      <c r="I50" s="14">
        <f t="shared" si="0"/>
        <v>59.9393617021276</v>
      </c>
      <c r="J50" s="14"/>
      <c r="K50" s="14"/>
      <c r="L50" s="14"/>
      <c r="M50" s="14"/>
      <c r="N50" s="14"/>
      <c r="O50" s="14"/>
    </row>
    <row r="51" s="8" customFormat="1" ht="20" customHeight="1" spans="1:15">
      <c r="A51" s="14">
        <v>47</v>
      </c>
      <c r="B51" s="14" t="s">
        <v>1947</v>
      </c>
      <c r="C51" s="14" t="s">
        <v>1948</v>
      </c>
      <c r="D51" s="14">
        <v>90.4255319148936</v>
      </c>
      <c r="E51" s="14">
        <v>75.7142857142857</v>
      </c>
      <c r="F51" s="14">
        <v>87.5</v>
      </c>
      <c r="G51" s="14"/>
      <c r="H51" s="14">
        <v>24</v>
      </c>
      <c r="I51" s="14">
        <f t="shared" si="0"/>
        <v>57.3062310030395</v>
      </c>
      <c r="J51" s="14"/>
      <c r="K51" s="14"/>
      <c r="L51" s="14"/>
      <c r="M51" s="14"/>
      <c r="N51" s="14"/>
      <c r="O51" s="14"/>
    </row>
    <row r="52" spans="1:15">
      <c r="A52" s="19" t="s">
        <v>119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</row>
  </sheetData>
  <mergeCells count="4">
    <mergeCell ref="A1:O1"/>
    <mergeCell ref="A2:O2"/>
    <mergeCell ref="A3:O3"/>
    <mergeCell ref="A52:O52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workbookViewId="0">
      <selection activeCell="N23" sqref="N23"/>
    </sheetView>
  </sheetViews>
  <sheetFormatPr defaultColWidth="8.75" defaultRowHeight="16.8"/>
  <cols>
    <col min="2" max="2" width="16.3461538461538" customWidth="1"/>
    <col min="3" max="3" width="12.1730769230769" customWidth="1"/>
    <col min="4" max="4" width="12.8076923076923" customWidth="1"/>
    <col min="5" max="5" width="12.6538461538462" customWidth="1"/>
    <col min="6" max="6" width="12.9711538461538" customWidth="1"/>
    <col min="7" max="7" width="12.1730769230769" customWidth="1"/>
    <col min="8" max="8" width="20.1923076923077" customWidth="1"/>
    <col min="14" max="14" width="16.8173076923077" customWidth="1"/>
  </cols>
  <sheetData>
    <row r="1" ht="19" customHeight="1" spans="1:1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34" customHeight="1" spans="1:14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ht="32" customHeight="1" spans="1:14">
      <c r="A3" s="11" t="s">
        <v>1949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ht="53" spans="1:14">
      <c r="A4" s="12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9</v>
      </c>
      <c r="G4" s="12" t="s">
        <v>10</v>
      </c>
      <c r="H4" s="12" t="s">
        <v>753</v>
      </c>
      <c r="I4" s="12" t="s">
        <v>12</v>
      </c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="8" customFormat="1" ht="20" customHeight="1" spans="1:14">
      <c r="A5" s="13">
        <v>1</v>
      </c>
      <c r="B5" s="13" t="s">
        <v>1950</v>
      </c>
      <c r="C5" s="13" t="s">
        <v>1951</v>
      </c>
      <c r="D5" s="13">
        <v>96.4864864864865</v>
      </c>
      <c r="E5" s="13" t="s">
        <v>1952</v>
      </c>
      <c r="F5" s="13">
        <v>5.5</v>
      </c>
      <c r="G5" s="13"/>
      <c r="H5" s="13">
        <f t="shared" ref="H5:H41" si="0">D5*0.3+E5*0.7+F5-G5</f>
        <v>96.1019459459459</v>
      </c>
      <c r="I5" s="13"/>
      <c r="J5" s="13"/>
      <c r="K5" s="13"/>
      <c r="L5" s="13" t="s">
        <v>21</v>
      </c>
      <c r="M5" s="13" t="s">
        <v>21</v>
      </c>
      <c r="N5" s="13"/>
    </row>
    <row r="6" s="8" customFormat="1" ht="20" customHeight="1" spans="1:14">
      <c r="A6" s="13">
        <v>2</v>
      </c>
      <c r="B6" s="13" t="s">
        <v>1953</v>
      </c>
      <c r="C6" s="13" t="s">
        <v>1954</v>
      </c>
      <c r="D6" s="13">
        <v>96.5135135135135</v>
      </c>
      <c r="E6" s="13" t="s">
        <v>1955</v>
      </c>
      <c r="F6" s="13">
        <v>5.5</v>
      </c>
      <c r="G6" s="13"/>
      <c r="H6" s="13">
        <f t="shared" si="0"/>
        <v>95.060054054054</v>
      </c>
      <c r="I6" s="13"/>
      <c r="J6" s="13"/>
      <c r="K6" s="13"/>
      <c r="L6" s="13"/>
      <c r="M6" s="13"/>
      <c r="N6" s="13" t="s">
        <v>21</v>
      </c>
    </row>
    <row r="7" s="8" customFormat="1" ht="20" customHeight="1" spans="1:14">
      <c r="A7" s="13">
        <v>3</v>
      </c>
      <c r="B7" s="13" t="s">
        <v>1956</v>
      </c>
      <c r="C7" s="13" t="s">
        <v>1957</v>
      </c>
      <c r="D7" s="13">
        <v>98</v>
      </c>
      <c r="E7" s="13" t="s">
        <v>1958</v>
      </c>
      <c r="F7" s="13">
        <v>2</v>
      </c>
      <c r="G7" s="13"/>
      <c r="H7" s="13">
        <f t="shared" si="0"/>
        <v>92.531</v>
      </c>
      <c r="I7" s="13"/>
      <c r="J7" s="13"/>
      <c r="K7" s="13"/>
      <c r="L7" s="13" t="s">
        <v>21</v>
      </c>
      <c r="M7" s="13" t="s">
        <v>21</v>
      </c>
      <c r="N7" s="13"/>
    </row>
    <row r="8" s="8" customFormat="1" ht="20" customHeight="1" spans="1:14">
      <c r="A8" s="13">
        <v>4</v>
      </c>
      <c r="B8" s="13" t="s">
        <v>1959</v>
      </c>
      <c r="C8" s="13" t="s">
        <v>1960</v>
      </c>
      <c r="D8" s="13">
        <v>98.2972972972973</v>
      </c>
      <c r="E8" s="13" t="s">
        <v>27</v>
      </c>
      <c r="F8" s="13">
        <v>2</v>
      </c>
      <c r="G8" s="13"/>
      <c r="H8" s="13">
        <f t="shared" si="0"/>
        <v>92.3891891891892</v>
      </c>
      <c r="I8" s="13"/>
      <c r="J8" s="13"/>
      <c r="K8" s="13"/>
      <c r="L8" s="13"/>
      <c r="M8" s="13" t="s">
        <v>21</v>
      </c>
      <c r="N8" s="13"/>
    </row>
    <row r="9" s="8" customFormat="1" ht="20" customHeight="1" spans="1:14">
      <c r="A9" s="13">
        <v>5</v>
      </c>
      <c r="B9" s="13" t="s">
        <v>1961</v>
      </c>
      <c r="C9" s="13" t="s">
        <v>1962</v>
      </c>
      <c r="D9" s="13">
        <v>97.054054054054</v>
      </c>
      <c r="E9" s="13" t="s">
        <v>1963</v>
      </c>
      <c r="F9" s="13">
        <v>2</v>
      </c>
      <c r="G9" s="13"/>
      <c r="H9" s="13">
        <f t="shared" si="0"/>
        <v>92.1352162162162</v>
      </c>
      <c r="I9" s="13"/>
      <c r="J9" s="13"/>
      <c r="K9" s="13"/>
      <c r="L9" s="13" t="s">
        <v>21</v>
      </c>
      <c r="M9" s="13"/>
      <c r="N9" s="13" t="s">
        <v>21</v>
      </c>
    </row>
    <row r="10" s="8" customFormat="1" ht="20" customHeight="1" spans="1:14">
      <c r="A10" s="13">
        <v>6</v>
      </c>
      <c r="B10" s="13" t="s">
        <v>1964</v>
      </c>
      <c r="C10" s="13" t="s">
        <v>1965</v>
      </c>
      <c r="D10" s="13">
        <v>96.054054054054</v>
      </c>
      <c r="E10" s="13" t="s">
        <v>1966</v>
      </c>
      <c r="F10" s="13">
        <v>2</v>
      </c>
      <c r="G10" s="13"/>
      <c r="H10" s="13">
        <f t="shared" si="0"/>
        <v>92.0102162162162</v>
      </c>
      <c r="I10" s="13"/>
      <c r="J10" s="13"/>
      <c r="K10" s="13"/>
      <c r="L10" s="13" t="s">
        <v>21</v>
      </c>
      <c r="M10" s="13"/>
      <c r="N10" s="13" t="s">
        <v>21</v>
      </c>
    </row>
    <row r="11" s="8" customFormat="1" ht="20" customHeight="1" spans="1:14">
      <c r="A11" s="13">
        <v>7</v>
      </c>
      <c r="B11" s="13" t="s">
        <v>1967</v>
      </c>
      <c r="C11" s="13" t="s">
        <v>1968</v>
      </c>
      <c r="D11" s="13">
        <v>97.1891891891892</v>
      </c>
      <c r="E11" s="13" t="s">
        <v>1969</v>
      </c>
      <c r="F11" s="13"/>
      <c r="G11" s="13"/>
      <c r="H11" s="13">
        <f t="shared" si="0"/>
        <v>91.3377567567568</v>
      </c>
      <c r="I11" s="13"/>
      <c r="J11" s="13"/>
      <c r="K11" s="13" t="s">
        <v>21</v>
      </c>
      <c r="L11" s="13"/>
      <c r="M11" s="13" t="s">
        <v>21</v>
      </c>
      <c r="N11" s="13"/>
    </row>
    <row r="12" s="8" customFormat="1" ht="20" customHeight="1" spans="1:14">
      <c r="A12" s="13">
        <v>8</v>
      </c>
      <c r="B12" s="13" t="s">
        <v>1970</v>
      </c>
      <c r="C12" s="13" t="s">
        <v>1971</v>
      </c>
      <c r="D12" s="13">
        <v>96.7837837837838</v>
      </c>
      <c r="E12" s="13" t="s">
        <v>1972</v>
      </c>
      <c r="F12" s="13"/>
      <c r="G12" s="13"/>
      <c r="H12" s="13">
        <f t="shared" si="0"/>
        <v>90.9851351351351</v>
      </c>
      <c r="I12" s="13"/>
      <c r="J12" s="13"/>
      <c r="K12" s="13" t="s">
        <v>21</v>
      </c>
      <c r="L12" s="13"/>
      <c r="M12" s="13" t="s">
        <v>21</v>
      </c>
      <c r="N12" s="13"/>
    </row>
    <row r="13" s="8" customFormat="1" ht="20" customHeight="1" spans="1:14">
      <c r="A13" s="13">
        <v>9</v>
      </c>
      <c r="B13" s="13" t="s">
        <v>1973</v>
      </c>
      <c r="C13" s="13" t="s">
        <v>1974</v>
      </c>
      <c r="D13" s="13">
        <v>96.6756756756757</v>
      </c>
      <c r="E13" s="13" t="s">
        <v>1972</v>
      </c>
      <c r="F13" s="13"/>
      <c r="G13" s="13"/>
      <c r="H13" s="13">
        <f t="shared" si="0"/>
        <v>90.9527027027027</v>
      </c>
      <c r="I13" s="13"/>
      <c r="J13" s="13"/>
      <c r="K13" s="13" t="s">
        <v>21</v>
      </c>
      <c r="L13" s="13"/>
      <c r="M13" s="13" t="s">
        <v>21</v>
      </c>
      <c r="N13" s="13"/>
    </row>
    <row r="14" s="8" customFormat="1" ht="20" customHeight="1" spans="1:14">
      <c r="A14" s="13">
        <v>10</v>
      </c>
      <c r="B14" s="13" t="s">
        <v>1975</v>
      </c>
      <c r="C14" s="13" t="s">
        <v>1976</v>
      </c>
      <c r="D14" s="13">
        <v>96.3783783783784</v>
      </c>
      <c r="E14" s="13" t="s">
        <v>1972</v>
      </c>
      <c r="F14" s="13"/>
      <c r="G14" s="13"/>
      <c r="H14" s="13">
        <f t="shared" si="0"/>
        <v>90.8635135135135</v>
      </c>
      <c r="I14" s="13"/>
      <c r="J14" s="13"/>
      <c r="K14" s="13" t="s">
        <v>21</v>
      </c>
      <c r="L14" s="13"/>
      <c r="M14" s="13"/>
      <c r="N14" s="13"/>
    </row>
    <row r="15" s="8" customFormat="1" ht="20" customHeight="1" spans="1:14">
      <c r="A15" s="13">
        <v>11</v>
      </c>
      <c r="B15" s="13" t="s">
        <v>1977</v>
      </c>
      <c r="C15" s="13" t="s">
        <v>1978</v>
      </c>
      <c r="D15" s="13">
        <v>96.4594594594595</v>
      </c>
      <c r="E15" s="13" t="s">
        <v>1979</v>
      </c>
      <c r="F15" s="13"/>
      <c r="G15" s="13"/>
      <c r="H15" s="13">
        <f t="shared" si="0"/>
        <v>90.7688378378379</v>
      </c>
      <c r="I15" s="13"/>
      <c r="J15" s="13"/>
      <c r="K15" s="13"/>
      <c r="L15" s="13" t="s">
        <v>21</v>
      </c>
      <c r="M15" s="13"/>
      <c r="N15" s="13"/>
    </row>
    <row r="16" s="8" customFormat="1" ht="20" customHeight="1" spans="1:14">
      <c r="A16" s="13">
        <v>12</v>
      </c>
      <c r="B16" s="13" t="s">
        <v>1980</v>
      </c>
      <c r="C16" s="13" t="s">
        <v>1981</v>
      </c>
      <c r="D16" s="13">
        <v>97.1081081081081</v>
      </c>
      <c r="E16" s="13" t="s">
        <v>1982</v>
      </c>
      <c r="F16" s="13">
        <v>1</v>
      </c>
      <c r="G16" s="13"/>
      <c r="H16" s="13">
        <f t="shared" si="0"/>
        <v>90.6264324324324</v>
      </c>
      <c r="I16" s="13"/>
      <c r="J16" s="13"/>
      <c r="K16" s="13"/>
      <c r="L16" s="13"/>
      <c r="M16" s="13"/>
      <c r="N16" s="13" t="s">
        <v>21</v>
      </c>
    </row>
    <row r="17" s="8" customFormat="1" ht="20" customHeight="1" spans="1:14">
      <c r="A17" s="13">
        <v>13</v>
      </c>
      <c r="B17" s="13" t="s">
        <v>1983</v>
      </c>
      <c r="C17" s="13" t="s">
        <v>1984</v>
      </c>
      <c r="D17" s="13">
        <v>96.4864864864865</v>
      </c>
      <c r="E17" s="13" t="s">
        <v>1985</v>
      </c>
      <c r="F17" s="13"/>
      <c r="G17" s="13"/>
      <c r="H17" s="13">
        <f t="shared" si="0"/>
        <v>90.4269459459459</v>
      </c>
      <c r="I17" s="13"/>
      <c r="J17" s="13"/>
      <c r="K17" s="13"/>
      <c r="L17" s="13" t="s">
        <v>21</v>
      </c>
      <c r="M17" s="13"/>
      <c r="N17" s="13"/>
    </row>
    <row r="18" s="8" customFormat="1" ht="20" customHeight="1" spans="1:14">
      <c r="A18" s="13">
        <v>14</v>
      </c>
      <c r="B18" s="13" t="s">
        <v>1986</v>
      </c>
      <c r="C18" s="13" t="s">
        <v>1987</v>
      </c>
      <c r="D18" s="13">
        <v>96.2972972972973</v>
      </c>
      <c r="E18" s="13" t="s">
        <v>1988</v>
      </c>
      <c r="F18" s="13"/>
      <c r="G18" s="13"/>
      <c r="H18" s="13">
        <f t="shared" si="0"/>
        <v>90.2581891891892</v>
      </c>
      <c r="I18" s="13"/>
      <c r="J18" s="13"/>
      <c r="K18" s="13"/>
      <c r="L18" s="13" t="s">
        <v>21</v>
      </c>
      <c r="M18" s="13"/>
      <c r="N18" s="13"/>
    </row>
    <row r="19" s="8" customFormat="1" ht="20" customHeight="1" spans="1:14">
      <c r="A19" s="14">
        <v>15</v>
      </c>
      <c r="B19" s="14" t="s">
        <v>1989</v>
      </c>
      <c r="C19" s="14" t="s">
        <v>1990</v>
      </c>
      <c r="D19" s="14">
        <v>96.4864864864865</v>
      </c>
      <c r="E19" s="14" t="s">
        <v>1963</v>
      </c>
      <c r="F19" s="14"/>
      <c r="G19" s="14"/>
      <c r="H19" s="14">
        <f t="shared" si="0"/>
        <v>89.9649459459459</v>
      </c>
      <c r="I19" s="14"/>
      <c r="J19" s="14"/>
      <c r="K19" s="14"/>
      <c r="L19" s="14"/>
      <c r="M19" s="14"/>
      <c r="N19" s="14"/>
    </row>
    <row r="20" s="8" customFormat="1" ht="20" customHeight="1" spans="1:14">
      <c r="A20" s="14">
        <v>16</v>
      </c>
      <c r="B20" s="14" t="s">
        <v>1991</v>
      </c>
      <c r="C20" s="14" t="s">
        <v>1992</v>
      </c>
      <c r="D20" s="14">
        <v>96.2972972972973</v>
      </c>
      <c r="E20" s="14" t="s">
        <v>1963</v>
      </c>
      <c r="F20" s="14"/>
      <c r="G20" s="14"/>
      <c r="H20" s="14">
        <f t="shared" si="0"/>
        <v>89.9081891891892</v>
      </c>
      <c r="I20" s="14"/>
      <c r="J20" s="14"/>
      <c r="K20" s="14"/>
      <c r="L20" s="14"/>
      <c r="M20" s="14"/>
      <c r="N20" s="14"/>
    </row>
    <row r="21" s="8" customFormat="1" ht="20" customHeight="1" spans="1:14">
      <c r="A21" s="14">
        <v>17</v>
      </c>
      <c r="B21" s="14" t="s">
        <v>1993</v>
      </c>
      <c r="C21" s="14" t="s">
        <v>1994</v>
      </c>
      <c r="D21" s="14">
        <v>96.3243243243243</v>
      </c>
      <c r="E21" s="14" t="s">
        <v>27</v>
      </c>
      <c r="F21" s="14"/>
      <c r="G21" s="14"/>
      <c r="H21" s="14">
        <f t="shared" si="0"/>
        <v>89.7972972972973</v>
      </c>
      <c r="I21" s="14"/>
      <c r="J21" s="14"/>
      <c r="K21" s="14"/>
      <c r="L21" s="14"/>
      <c r="M21" s="14"/>
      <c r="N21" s="14"/>
    </row>
    <row r="22" s="8" customFormat="1" ht="20" customHeight="1" spans="1:14">
      <c r="A22" s="14">
        <v>18</v>
      </c>
      <c r="B22" s="14" t="s">
        <v>1995</v>
      </c>
      <c r="C22" s="14" t="s">
        <v>1996</v>
      </c>
      <c r="D22" s="14">
        <v>96.8648648648649</v>
      </c>
      <c r="E22" s="14" t="s">
        <v>1982</v>
      </c>
      <c r="F22" s="14"/>
      <c r="G22" s="14"/>
      <c r="H22" s="14">
        <f t="shared" si="0"/>
        <v>89.5534594594595</v>
      </c>
      <c r="I22" s="14"/>
      <c r="J22" s="14"/>
      <c r="K22" s="14"/>
      <c r="L22" s="14"/>
      <c r="M22" s="14"/>
      <c r="N22" s="14"/>
    </row>
    <row r="23" s="8" customFormat="1" ht="20" customHeight="1" spans="1:14">
      <c r="A23" s="14">
        <v>19</v>
      </c>
      <c r="B23" s="14" t="s">
        <v>1997</v>
      </c>
      <c r="C23" s="14" t="s">
        <v>1998</v>
      </c>
      <c r="D23" s="14">
        <v>96.0810810810811</v>
      </c>
      <c r="E23" s="14" t="s">
        <v>1999</v>
      </c>
      <c r="F23" s="14"/>
      <c r="G23" s="14"/>
      <c r="H23" s="14">
        <f t="shared" si="0"/>
        <v>89.5493243243243</v>
      </c>
      <c r="I23" s="14"/>
      <c r="J23" s="14"/>
      <c r="K23" s="14"/>
      <c r="L23" s="14"/>
      <c r="M23" s="14"/>
      <c r="N23" s="14"/>
    </row>
    <row r="24" s="8" customFormat="1" ht="20" customHeight="1" spans="1:14">
      <c r="A24" s="14">
        <v>20</v>
      </c>
      <c r="B24" s="14" t="s">
        <v>2000</v>
      </c>
      <c r="C24" s="14" t="s">
        <v>2001</v>
      </c>
      <c r="D24" s="14">
        <v>97.3513513513514</v>
      </c>
      <c r="E24" s="14" t="s">
        <v>2002</v>
      </c>
      <c r="F24" s="14"/>
      <c r="G24" s="14"/>
      <c r="H24" s="14">
        <f t="shared" si="0"/>
        <v>89.5244054054054</v>
      </c>
      <c r="I24" s="14"/>
      <c r="J24" s="14"/>
      <c r="K24" s="14"/>
      <c r="L24" s="14"/>
      <c r="M24" s="14"/>
      <c r="N24" s="14"/>
    </row>
    <row r="25" s="8" customFormat="1" ht="20" customHeight="1" spans="1:14">
      <c r="A25" s="14">
        <v>21</v>
      </c>
      <c r="B25" s="14" t="s">
        <v>2003</v>
      </c>
      <c r="C25" s="14" t="s">
        <v>2004</v>
      </c>
      <c r="D25" s="14">
        <v>96.6756756756757</v>
      </c>
      <c r="E25" s="14" t="s">
        <v>2002</v>
      </c>
      <c r="F25" s="14"/>
      <c r="G25" s="14"/>
      <c r="H25" s="14">
        <f t="shared" si="0"/>
        <v>89.3217027027027</v>
      </c>
      <c r="I25" s="14"/>
      <c r="J25" s="14"/>
      <c r="K25" s="14"/>
      <c r="L25" s="14"/>
      <c r="M25" s="14"/>
      <c r="N25" s="14"/>
    </row>
    <row r="26" s="8" customFormat="1" ht="20" customHeight="1" spans="1:14">
      <c r="A26" s="14">
        <v>22</v>
      </c>
      <c r="B26" s="14" t="s">
        <v>2005</v>
      </c>
      <c r="C26" s="14" t="s">
        <v>2006</v>
      </c>
      <c r="D26" s="14">
        <v>96.6216216216216</v>
      </c>
      <c r="E26" s="14" t="s">
        <v>2007</v>
      </c>
      <c r="F26" s="14"/>
      <c r="G26" s="14"/>
      <c r="H26" s="14">
        <f t="shared" si="0"/>
        <v>89.2424864864865</v>
      </c>
      <c r="I26" s="14"/>
      <c r="J26" s="14"/>
      <c r="K26" s="14"/>
      <c r="L26" s="14"/>
      <c r="M26" s="14"/>
      <c r="N26" s="14"/>
    </row>
    <row r="27" s="8" customFormat="1" ht="20" customHeight="1" spans="1:14">
      <c r="A27" s="14">
        <v>23</v>
      </c>
      <c r="B27" s="14" t="s">
        <v>2008</v>
      </c>
      <c r="C27" s="14" t="s">
        <v>2009</v>
      </c>
      <c r="D27" s="14">
        <v>96.3243243243243</v>
      </c>
      <c r="E27" s="14" t="s">
        <v>2002</v>
      </c>
      <c r="F27" s="14"/>
      <c r="G27" s="14"/>
      <c r="H27" s="14">
        <f t="shared" si="0"/>
        <v>89.2162972972973</v>
      </c>
      <c r="I27" s="14"/>
      <c r="J27" s="14"/>
      <c r="K27" s="14"/>
      <c r="L27" s="14"/>
      <c r="M27" s="14"/>
      <c r="N27" s="14"/>
    </row>
    <row r="28" s="8" customFormat="1" ht="20" customHeight="1" spans="1:14">
      <c r="A28" s="14">
        <v>24</v>
      </c>
      <c r="B28" s="14" t="s">
        <v>2010</v>
      </c>
      <c r="C28" s="14" t="s">
        <v>2011</v>
      </c>
      <c r="D28" s="14">
        <v>97.1081081081081</v>
      </c>
      <c r="E28" s="14" t="s">
        <v>2012</v>
      </c>
      <c r="F28" s="14"/>
      <c r="G28" s="14"/>
      <c r="H28" s="14">
        <f t="shared" si="0"/>
        <v>89.1574324324324</v>
      </c>
      <c r="I28" s="14"/>
      <c r="J28" s="14"/>
      <c r="K28" s="14"/>
      <c r="L28" s="14"/>
      <c r="M28" s="14"/>
      <c r="N28" s="14"/>
    </row>
    <row r="29" s="8" customFormat="1" ht="20" customHeight="1" spans="1:14">
      <c r="A29" s="14">
        <v>25</v>
      </c>
      <c r="B29" s="14" t="s">
        <v>2013</v>
      </c>
      <c r="C29" s="14" t="s">
        <v>2014</v>
      </c>
      <c r="D29" s="14">
        <v>95.7837837837838</v>
      </c>
      <c r="E29" s="14" t="s">
        <v>2015</v>
      </c>
      <c r="F29" s="14"/>
      <c r="G29" s="14"/>
      <c r="H29" s="14">
        <f t="shared" si="0"/>
        <v>87.9411351351351</v>
      </c>
      <c r="I29" s="14"/>
      <c r="J29" s="14"/>
      <c r="K29" s="14"/>
      <c r="L29" s="14"/>
      <c r="M29" s="14"/>
      <c r="N29" s="14"/>
    </row>
    <row r="30" s="8" customFormat="1" ht="20" customHeight="1" spans="1:14">
      <c r="A30" s="14">
        <v>26</v>
      </c>
      <c r="B30" s="14" t="s">
        <v>2016</v>
      </c>
      <c r="C30" s="14" t="s">
        <v>2017</v>
      </c>
      <c r="D30" s="14">
        <v>94.4324324324324</v>
      </c>
      <c r="E30" s="14" t="s">
        <v>2018</v>
      </c>
      <c r="F30" s="14"/>
      <c r="G30" s="14"/>
      <c r="H30" s="14">
        <f t="shared" si="0"/>
        <v>87.7737297297297</v>
      </c>
      <c r="I30" s="14"/>
      <c r="J30" s="14"/>
      <c r="K30" s="14"/>
      <c r="L30" s="14"/>
      <c r="M30" s="14"/>
      <c r="N30" s="14"/>
    </row>
    <row r="31" s="8" customFormat="1" ht="20" customHeight="1" spans="1:14">
      <c r="A31" s="14">
        <v>27</v>
      </c>
      <c r="B31" s="14" t="s">
        <v>2019</v>
      </c>
      <c r="C31" s="14" t="s">
        <v>2020</v>
      </c>
      <c r="D31" s="14">
        <v>94.7027027027027</v>
      </c>
      <c r="E31" s="14" t="s">
        <v>2021</v>
      </c>
      <c r="F31" s="14"/>
      <c r="G31" s="14"/>
      <c r="H31" s="14">
        <f t="shared" si="0"/>
        <v>87.5608108108108</v>
      </c>
      <c r="I31" s="14"/>
      <c r="J31" s="14"/>
      <c r="K31" s="14"/>
      <c r="L31" s="14"/>
      <c r="M31" s="14"/>
      <c r="N31" s="14"/>
    </row>
    <row r="32" s="8" customFormat="1" ht="20" customHeight="1" spans="1:14">
      <c r="A32" s="14">
        <v>28</v>
      </c>
      <c r="B32" s="14" t="s">
        <v>2022</v>
      </c>
      <c r="C32" s="14" t="s">
        <v>2023</v>
      </c>
      <c r="D32" s="14">
        <v>96.2162162162162</v>
      </c>
      <c r="E32" s="14" t="s">
        <v>2024</v>
      </c>
      <c r="F32" s="14"/>
      <c r="G32" s="14"/>
      <c r="H32" s="14">
        <f t="shared" si="0"/>
        <v>87.5458648648649</v>
      </c>
      <c r="I32" s="14"/>
      <c r="J32" s="14"/>
      <c r="K32" s="14"/>
      <c r="L32" s="14"/>
      <c r="M32" s="14"/>
      <c r="N32" s="14"/>
    </row>
    <row r="33" s="8" customFormat="1" ht="20" customHeight="1" spans="1:14">
      <c r="A33" s="14">
        <v>29</v>
      </c>
      <c r="B33" s="14" t="s">
        <v>2025</v>
      </c>
      <c r="C33" s="14" t="s">
        <v>2026</v>
      </c>
      <c r="D33" s="14">
        <v>96.2432432432432</v>
      </c>
      <c r="E33" s="14" t="s">
        <v>2027</v>
      </c>
      <c r="F33" s="14"/>
      <c r="G33" s="14"/>
      <c r="H33" s="14">
        <f t="shared" si="0"/>
        <v>87.322972972973</v>
      </c>
      <c r="I33" s="14"/>
      <c r="J33" s="14"/>
      <c r="K33" s="14"/>
      <c r="L33" s="14"/>
      <c r="M33" s="14"/>
      <c r="N33" s="14"/>
    </row>
    <row r="34" s="8" customFormat="1" ht="20" customHeight="1" spans="1:14">
      <c r="A34" s="14">
        <v>30</v>
      </c>
      <c r="B34" s="14" t="s">
        <v>2028</v>
      </c>
      <c r="C34" s="14" t="s">
        <v>2029</v>
      </c>
      <c r="D34" s="14">
        <v>96.5945945945946</v>
      </c>
      <c r="E34" s="14" t="s">
        <v>1426</v>
      </c>
      <c r="F34" s="14"/>
      <c r="G34" s="14"/>
      <c r="H34" s="14">
        <f t="shared" si="0"/>
        <v>87.3093783783784</v>
      </c>
      <c r="I34" s="14"/>
      <c r="J34" s="14"/>
      <c r="K34" s="14"/>
      <c r="L34" s="14"/>
      <c r="M34" s="14"/>
      <c r="N34" s="14"/>
    </row>
    <row r="35" s="8" customFormat="1" ht="20" customHeight="1" spans="1:14">
      <c r="A35" s="14">
        <v>31</v>
      </c>
      <c r="B35" s="14" t="s">
        <v>2030</v>
      </c>
      <c r="C35" s="14" t="s">
        <v>2031</v>
      </c>
      <c r="D35" s="14">
        <v>95.9189189189189</v>
      </c>
      <c r="E35" s="14" t="s">
        <v>1426</v>
      </c>
      <c r="F35" s="14"/>
      <c r="G35" s="14"/>
      <c r="H35" s="14">
        <f t="shared" si="0"/>
        <v>87.1066756756757</v>
      </c>
      <c r="I35" s="14"/>
      <c r="J35" s="14"/>
      <c r="K35" s="14"/>
      <c r="L35" s="14"/>
      <c r="M35" s="14"/>
      <c r="N35" s="14"/>
    </row>
    <row r="36" s="8" customFormat="1" ht="20" customHeight="1" spans="1:14">
      <c r="A36" s="14">
        <v>32</v>
      </c>
      <c r="B36" s="14" t="s">
        <v>2032</v>
      </c>
      <c r="C36" s="14" t="s">
        <v>2033</v>
      </c>
      <c r="D36" s="14">
        <v>95.5945945945946</v>
      </c>
      <c r="E36" s="14" t="s">
        <v>148</v>
      </c>
      <c r="F36" s="14"/>
      <c r="G36" s="14"/>
      <c r="H36" s="14">
        <f t="shared" si="0"/>
        <v>86.7783783783784</v>
      </c>
      <c r="I36" s="14"/>
      <c r="J36" s="14"/>
      <c r="K36" s="14"/>
      <c r="L36" s="14"/>
      <c r="M36" s="14"/>
      <c r="N36" s="14"/>
    </row>
    <row r="37" s="8" customFormat="1" ht="20" customHeight="1" spans="1:14">
      <c r="A37" s="14">
        <v>33</v>
      </c>
      <c r="B37" s="14" t="s">
        <v>2034</v>
      </c>
      <c r="C37" s="14" t="s">
        <v>2035</v>
      </c>
      <c r="D37" s="14">
        <v>94.8648648648649</v>
      </c>
      <c r="E37" s="14" t="s">
        <v>2036</v>
      </c>
      <c r="F37" s="14"/>
      <c r="G37" s="14"/>
      <c r="H37" s="14">
        <f t="shared" si="0"/>
        <v>86.4404594594595</v>
      </c>
      <c r="I37" s="14"/>
      <c r="J37" s="14"/>
      <c r="K37" s="14"/>
      <c r="L37" s="14"/>
      <c r="M37" s="14"/>
      <c r="N37" s="14"/>
    </row>
    <row r="38" s="8" customFormat="1" ht="20" customHeight="1" spans="1:14">
      <c r="A38" s="14">
        <v>34</v>
      </c>
      <c r="B38" s="14" t="s">
        <v>2037</v>
      </c>
      <c r="C38" s="14" t="s">
        <v>2038</v>
      </c>
      <c r="D38" s="14">
        <v>94.1351351351351</v>
      </c>
      <c r="E38" s="14" t="s">
        <v>948</v>
      </c>
      <c r="F38" s="14"/>
      <c r="G38" s="14"/>
      <c r="H38" s="14">
        <f t="shared" si="0"/>
        <v>85.6405405405405</v>
      </c>
      <c r="I38" s="14"/>
      <c r="J38" s="14"/>
      <c r="K38" s="14"/>
      <c r="L38" s="14"/>
      <c r="M38" s="14"/>
      <c r="N38" s="14"/>
    </row>
    <row r="39" s="8" customFormat="1" ht="20" customHeight="1" spans="1:14">
      <c r="A39" s="14">
        <v>35</v>
      </c>
      <c r="B39" s="14" t="s">
        <v>2039</v>
      </c>
      <c r="C39" s="14" t="s">
        <v>2040</v>
      </c>
      <c r="D39" s="14">
        <v>93.6486486486486</v>
      </c>
      <c r="E39" s="14" t="s">
        <v>610</v>
      </c>
      <c r="F39" s="14"/>
      <c r="G39" s="14"/>
      <c r="H39" s="14">
        <f t="shared" si="0"/>
        <v>85.4385945945946</v>
      </c>
      <c r="I39" s="14"/>
      <c r="J39" s="14"/>
      <c r="K39" s="14"/>
      <c r="L39" s="14"/>
      <c r="M39" s="14"/>
      <c r="N39" s="14"/>
    </row>
    <row r="40" s="8" customFormat="1" ht="20" customHeight="1" spans="1:14">
      <c r="A40" s="14">
        <v>36</v>
      </c>
      <c r="B40" s="14" t="s">
        <v>2041</v>
      </c>
      <c r="C40" s="14" t="s">
        <v>2042</v>
      </c>
      <c r="D40" s="14">
        <v>94.4864864864865</v>
      </c>
      <c r="E40" s="14" t="s">
        <v>2043</v>
      </c>
      <c r="F40" s="14"/>
      <c r="G40" s="14"/>
      <c r="H40" s="14">
        <f t="shared" si="0"/>
        <v>80.2019459459459</v>
      </c>
      <c r="I40" s="14"/>
      <c r="J40" s="14"/>
      <c r="K40" s="14"/>
      <c r="L40" s="14"/>
      <c r="M40" s="14"/>
      <c r="N40" s="14"/>
    </row>
    <row r="41" s="8" customFormat="1" ht="20" customHeight="1" spans="1:14">
      <c r="A41" s="14">
        <v>37</v>
      </c>
      <c r="B41" s="14" t="s">
        <v>2044</v>
      </c>
      <c r="C41" s="14" t="s">
        <v>2045</v>
      </c>
      <c r="D41" s="14">
        <v>92.6486486486486</v>
      </c>
      <c r="E41" s="14" t="s">
        <v>2046</v>
      </c>
      <c r="F41" s="14"/>
      <c r="G41" s="14"/>
      <c r="H41" s="14">
        <f t="shared" si="0"/>
        <v>80.0635945945946</v>
      </c>
      <c r="I41" s="14"/>
      <c r="J41" s="14"/>
      <c r="K41" s="14"/>
      <c r="L41" s="14"/>
      <c r="M41" s="14"/>
      <c r="N41" s="14"/>
    </row>
    <row r="42" spans="1:14">
      <c r="A42" s="15" t="s">
        <v>119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</sheetData>
  <mergeCells count="4">
    <mergeCell ref="A1:N1"/>
    <mergeCell ref="A2:N2"/>
    <mergeCell ref="A3:N3"/>
    <mergeCell ref="A42:N42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4"/>
  <sheetViews>
    <sheetView workbookViewId="0">
      <selection activeCell="N3" sqref="N3"/>
    </sheetView>
  </sheetViews>
  <sheetFormatPr defaultColWidth="9" defaultRowHeight="16.8"/>
  <cols>
    <col min="1" max="1" width="11.375" customWidth="1"/>
    <col min="2" max="2" width="18.5865384615385" customWidth="1"/>
    <col min="3" max="3" width="11.8557692307692" customWidth="1"/>
    <col min="4" max="4" width="13.2980769230769" customWidth="1"/>
    <col min="5" max="5" width="12.6538461538462" customWidth="1"/>
    <col min="6" max="6" width="11.8557692307692" customWidth="1"/>
    <col min="7" max="7" width="13.9423076923077" customWidth="1"/>
    <col min="8" max="8" width="11.2115384615385" customWidth="1"/>
    <col min="9" max="9" width="12.8173076923077"/>
    <col min="10" max="10" width="17.625" customWidth="1"/>
    <col min="13" max="13" width="14.1057692307692" customWidth="1"/>
  </cols>
  <sheetData>
    <row r="1" ht="53" spans="1:13">
      <c r="A1" s="1" t="s">
        <v>2047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2048</v>
      </c>
      <c r="G1" s="1" t="s">
        <v>9</v>
      </c>
      <c r="H1" s="1" t="s">
        <v>10</v>
      </c>
      <c r="I1" s="1" t="s">
        <v>2049</v>
      </c>
      <c r="J1" s="1" t="s">
        <v>2050</v>
      </c>
      <c r="K1" s="1" t="s">
        <v>16</v>
      </c>
      <c r="L1" s="1" t="s">
        <v>17</v>
      </c>
      <c r="M1" s="1" t="s">
        <v>2051</v>
      </c>
    </row>
    <row r="2" ht="20" customHeight="1" spans="1:13">
      <c r="A2" s="2">
        <v>1</v>
      </c>
      <c r="B2" s="2">
        <v>20230817203</v>
      </c>
      <c r="C2" s="2" t="s">
        <v>685</v>
      </c>
      <c r="D2" s="3">
        <v>96.1515151515152</v>
      </c>
      <c r="E2" s="3">
        <v>92.5</v>
      </c>
      <c r="F2" s="3">
        <v>80.5</v>
      </c>
      <c r="G2" s="3">
        <v>46</v>
      </c>
      <c r="H2" s="3"/>
      <c r="I2" s="3">
        <v>138.395454545455</v>
      </c>
      <c r="J2" s="3" t="s">
        <v>2052</v>
      </c>
      <c r="K2" s="3" t="s">
        <v>21</v>
      </c>
      <c r="L2" s="3"/>
      <c r="M2" s="3">
        <v>92.5</v>
      </c>
    </row>
    <row r="3" ht="20" customHeight="1" spans="1:13">
      <c r="A3" s="2">
        <v>2</v>
      </c>
      <c r="B3" s="2">
        <v>20230802237</v>
      </c>
      <c r="C3" s="2" t="s">
        <v>226</v>
      </c>
      <c r="D3" s="3">
        <v>96.68</v>
      </c>
      <c r="E3" s="3">
        <v>92.09</v>
      </c>
      <c r="F3" s="3">
        <v>84.75</v>
      </c>
      <c r="G3" s="3">
        <v>63.5</v>
      </c>
      <c r="H3" s="3"/>
      <c r="I3" s="3">
        <v>156.233</v>
      </c>
      <c r="J3" s="3" t="s">
        <v>2052</v>
      </c>
      <c r="K3" s="3"/>
      <c r="L3" s="3" t="s">
        <v>21</v>
      </c>
      <c r="M3" s="3">
        <v>92.09</v>
      </c>
    </row>
    <row r="4" ht="20" customHeight="1" spans="1:13">
      <c r="A4" s="2">
        <v>3</v>
      </c>
      <c r="B4" s="2" t="s">
        <v>1858</v>
      </c>
      <c r="C4" s="2" t="s">
        <v>1859</v>
      </c>
      <c r="D4" s="3">
        <v>92.7234042553192</v>
      </c>
      <c r="E4" s="3">
        <v>91.0714285714286</v>
      </c>
      <c r="F4" s="3">
        <v>94.5</v>
      </c>
      <c r="G4" s="3">
        <v>2</v>
      </c>
      <c r="H4" s="3"/>
      <c r="I4" s="3">
        <v>93.9098784194529</v>
      </c>
      <c r="J4" s="3" t="s">
        <v>2052</v>
      </c>
      <c r="K4" s="3"/>
      <c r="L4" s="3" t="s">
        <v>21</v>
      </c>
      <c r="M4" s="3">
        <v>91.5</v>
      </c>
    </row>
    <row r="5" ht="20" customHeight="1" spans="1:13">
      <c r="A5" s="2">
        <v>4</v>
      </c>
      <c r="B5" s="2">
        <v>20230801134</v>
      </c>
      <c r="C5" s="2" t="s">
        <v>19</v>
      </c>
      <c r="D5" s="3">
        <v>93.64</v>
      </c>
      <c r="E5" s="3">
        <v>91.36</v>
      </c>
      <c r="F5" s="3">
        <v>92</v>
      </c>
      <c r="G5" s="3">
        <v>56</v>
      </c>
      <c r="H5" s="3">
        <v>0</v>
      </c>
      <c r="I5" s="3">
        <v>148.108</v>
      </c>
      <c r="J5" s="3" t="s">
        <v>2052</v>
      </c>
      <c r="K5" s="3" t="s">
        <v>21</v>
      </c>
      <c r="L5" s="3"/>
      <c r="M5" s="3">
        <v>91.36</v>
      </c>
    </row>
    <row r="6" ht="20" customHeight="1" spans="1:13">
      <c r="A6" s="2">
        <v>5</v>
      </c>
      <c r="B6" s="2">
        <v>20230805114</v>
      </c>
      <c r="C6" s="2" t="s">
        <v>363</v>
      </c>
      <c r="D6" s="3">
        <v>95.6153846153846</v>
      </c>
      <c r="E6" s="3">
        <v>90.45</v>
      </c>
      <c r="F6" s="3">
        <v>86.75</v>
      </c>
      <c r="G6" s="3">
        <v>2</v>
      </c>
      <c r="H6" s="3"/>
      <c r="I6" s="3">
        <v>93.6296153846154</v>
      </c>
      <c r="J6" s="3" t="s">
        <v>2052</v>
      </c>
      <c r="K6" s="3" t="s">
        <v>21</v>
      </c>
      <c r="L6" s="3"/>
      <c r="M6" s="3">
        <v>90.45</v>
      </c>
    </row>
    <row r="7" ht="20" customHeight="1" spans="1:13">
      <c r="A7" s="2">
        <v>6</v>
      </c>
      <c r="B7" s="2">
        <v>20230805204</v>
      </c>
      <c r="C7" s="4" t="s">
        <v>411</v>
      </c>
      <c r="D7" s="3">
        <v>94.2702702702703</v>
      </c>
      <c r="E7" s="3">
        <v>90.3636363636364</v>
      </c>
      <c r="F7" s="3">
        <v>88.75</v>
      </c>
      <c r="G7" s="3"/>
      <c r="H7" s="3"/>
      <c r="I7" s="3">
        <v>91.3742628992629</v>
      </c>
      <c r="J7" s="6" t="s">
        <v>2053</v>
      </c>
      <c r="K7" s="3"/>
      <c r="L7" s="3"/>
      <c r="M7" s="3">
        <v>90.36</v>
      </c>
    </row>
    <row r="8" ht="20" customHeight="1" spans="1:13">
      <c r="A8" s="2">
        <v>7</v>
      </c>
      <c r="B8" s="2">
        <v>20230805331</v>
      </c>
      <c r="C8" s="2" t="s">
        <v>362</v>
      </c>
      <c r="D8" s="3">
        <v>94.8974358974359</v>
      </c>
      <c r="E8" s="3">
        <v>90.27</v>
      </c>
      <c r="F8" s="3">
        <v>86</v>
      </c>
      <c r="G8" s="3">
        <v>16</v>
      </c>
      <c r="H8" s="3"/>
      <c r="I8" s="3">
        <v>107.231230769231</v>
      </c>
      <c r="J8" s="3" t="s">
        <v>2052</v>
      </c>
      <c r="K8" s="3" t="s">
        <v>21</v>
      </c>
      <c r="L8" s="3"/>
      <c r="M8" s="3">
        <v>90.27</v>
      </c>
    </row>
    <row r="9" ht="20" customHeight="1" spans="1:13">
      <c r="A9" s="2">
        <v>8</v>
      </c>
      <c r="B9" s="2">
        <v>20230802101</v>
      </c>
      <c r="C9" s="2" t="s">
        <v>121</v>
      </c>
      <c r="D9" s="3">
        <v>97.94</v>
      </c>
      <c r="E9" s="3">
        <v>90.18</v>
      </c>
      <c r="F9" s="3">
        <v>86.5</v>
      </c>
      <c r="G9" s="3">
        <v>26.5</v>
      </c>
      <c r="H9" s="3"/>
      <c r="I9" s="3">
        <v>118.64</v>
      </c>
      <c r="J9" s="3" t="s">
        <v>2052</v>
      </c>
      <c r="K9" s="3" t="s">
        <v>21</v>
      </c>
      <c r="L9" s="3"/>
      <c r="M9" s="3">
        <v>90.18</v>
      </c>
    </row>
    <row r="10" ht="20" customHeight="1" spans="1:13">
      <c r="A10" s="2">
        <v>9</v>
      </c>
      <c r="B10" s="2" t="s">
        <v>1856</v>
      </c>
      <c r="C10" s="2" t="s">
        <v>1857</v>
      </c>
      <c r="D10" s="3">
        <v>91.0212765957447</v>
      </c>
      <c r="E10" s="3">
        <v>88.9285714285714</v>
      </c>
      <c r="F10" s="3">
        <v>95</v>
      </c>
      <c r="G10" s="3">
        <v>6</v>
      </c>
      <c r="H10" s="3"/>
      <c r="I10" s="3">
        <v>96.1635258358663</v>
      </c>
      <c r="J10" s="3" t="s">
        <v>2052</v>
      </c>
      <c r="K10" s="3"/>
      <c r="L10" s="3" t="s">
        <v>21</v>
      </c>
      <c r="M10" s="3">
        <v>89.6875</v>
      </c>
    </row>
    <row r="11" ht="20" customHeight="1" spans="1:13">
      <c r="A11" s="2">
        <v>10</v>
      </c>
      <c r="B11" s="2">
        <v>20230817103</v>
      </c>
      <c r="C11" s="2" t="s">
        <v>585</v>
      </c>
      <c r="D11" s="3">
        <v>97</v>
      </c>
      <c r="E11" s="3">
        <v>89.58</v>
      </c>
      <c r="F11" s="3">
        <v>81</v>
      </c>
      <c r="G11" s="3">
        <v>1</v>
      </c>
      <c r="H11" s="3"/>
      <c r="I11" s="3">
        <v>91.948</v>
      </c>
      <c r="J11" s="3" t="s">
        <v>2054</v>
      </c>
      <c r="K11" s="3" t="s">
        <v>21</v>
      </c>
      <c r="L11" s="3"/>
      <c r="M11" s="3">
        <v>89.58</v>
      </c>
    </row>
    <row r="12" ht="20" customHeight="1" spans="1:13">
      <c r="A12" s="2">
        <v>11</v>
      </c>
      <c r="B12" s="2" t="s">
        <v>1517</v>
      </c>
      <c r="C12" s="2" t="s">
        <v>1518</v>
      </c>
      <c r="D12" s="3">
        <v>97.225</v>
      </c>
      <c r="E12" s="3">
        <v>89.53</v>
      </c>
      <c r="F12" s="3"/>
      <c r="G12" s="3">
        <v>2</v>
      </c>
      <c r="H12" s="3"/>
      <c r="I12" s="3">
        <v>93.8385</v>
      </c>
      <c r="J12" s="3" t="s">
        <v>2054</v>
      </c>
      <c r="K12" s="3"/>
      <c r="L12" s="3" t="s">
        <v>21</v>
      </c>
      <c r="M12" s="3">
        <v>89.53</v>
      </c>
    </row>
    <row r="13" ht="20" customHeight="1" spans="1:13">
      <c r="A13" s="2">
        <v>12</v>
      </c>
      <c r="B13" s="2" t="s">
        <v>1862</v>
      </c>
      <c r="C13" s="2" t="s">
        <v>1863</v>
      </c>
      <c r="D13" s="3">
        <v>91.4893617021277</v>
      </c>
      <c r="E13" s="3">
        <v>89.2142857142857</v>
      </c>
      <c r="F13" s="3">
        <v>91</v>
      </c>
      <c r="G13" s="3">
        <v>1</v>
      </c>
      <c r="H13" s="3"/>
      <c r="I13" s="3">
        <v>91.0753799392097</v>
      </c>
      <c r="J13" s="3" t="s">
        <v>2054</v>
      </c>
      <c r="K13" s="3"/>
      <c r="L13" s="3"/>
      <c r="M13" s="3">
        <v>89.4375</v>
      </c>
    </row>
    <row r="14" ht="20" customHeight="1" spans="1:13">
      <c r="A14" s="2">
        <v>13</v>
      </c>
      <c r="B14" s="2">
        <v>20230801114</v>
      </c>
      <c r="C14" s="2" t="s">
        <v>32</v>
      </c>
      <c r="D14" s="3">
        <v>94.61</v>
      </c>
      <c r="E14" s="3">
        <v>89.36</v>
      </c>
      <c r="F14" s="3">
        <v>82.75</v>
      </c>
      <c r="G14" s="3">
        <v>0</v>
      </c>
      <c r="H14" s="3">
        <v>0</v>
      </c>
      <c r="I14" s="3">
        <v>90.274</v>
      </c>
      <c r="J14" s="3" t="s">
        <v>2054</v>
      </c>
      <c r="K14" s="3" t="s">
        <v>21</v>
      </c>
      <c r="L14" s="3"/>
      <c r="M14" s="3">
        <v>89.36</v>
      </c>
    </row>
    <row r="15" ht="20" customHeight="1" spans="1:13">
      <c r="A15" s="2">
        <v>14</v>
      </c>
      <c r="B15" s="2">
        <v>20230817214</v>
      </c>
      <c r="C15" s="2" t="s">
        <v>689</v>
      </c>
      <c r="D15" s="3">
        <v>95.1212121212121</v>
      </c>
      <c r="E15" s="3">
        <v>89.17</v>
      </c>
      <c r="F15" s="3">
        <v>87.5</v>
      </c>
      <c r="G15" s="3">
        <v>21</v>
      </c>
      <c r="H15" s="3"/>
      <c r="I15" s="3">
        <v>111.788363636364</v>
      </c>
      <c r="J15" s="3" t="s">
        <v>2054</v>
      </c>
      <c r="K15" s="3" t="s">
        <v>21</v>
      </c>
      <c r="L15" s="3"/>
      <c r="M15" s="3">
        <v>89.17</v>
      </c>
    </row>
    <row r="16" ht="20" customHeight="1" spans="1:13">
      <c r="A16" s="2">
        <v>15</v>
      </c>
      <c r="B16" s="2">
        <v>20230801101</v>
      </c>
      <c r="C16" s="2" t="s">
        <v>23</v>
      </c>
      <c r="D16" s="3">
        <v>97.14</v>
      </c>
      <c r="E16" s="3">
        <v>89.09</v>
      </c>
      <c r="F16" s="3">
        <v>89</v>
      </c>
      <c r="G16" s="3">
        <v>3</v>
      </c>
      <c r="H16" s="3">
        <v>0</v>
      </c>
      <c r="I16" s="3">
        <v>94.496</v>
      </c>
      <c r="J16" s="3" t="s">
        <v>2054</v>
      </c>
      <c r="K16" s="3" t="s">
        <v>21</v>
      </c>
      <c r="L16" s="3"/>
      <c r="M16" s="3">
        <v>89.09</v>
      </c>
    </row>
    <row r="17" ht="20" customHeight="1" spans="1:13">
      <c r="A17" s="2">
        <v>16</v>
      </c>
      <c r="B17" s="2">
        <v>20230802106</v>
      </c>
      <c r="C17" s="2" t="s">
        <v>127</v>
      </c>
      <c r="D17" s="3">
        <v>98.53</v>
      </c>
      <c r="E17" s="3">
        <v>89.09</v>
      </c>
      <c r="F17" s="3">
        <v>85.5</v>
      </c>
      <c r="G17" s="3">
        <v>18</v>
      </c>
      <c r="H17" s="3"/>
      <c r="I17" s="3">
        <v>109.563</v>
      </c>
      <c r="J17" s="3" t="s">
        <v>2054</v>
      </c>
      <c r="K17" s="3" t="s">
        <v>21</v>
      </c>
      <c r="L17" s="3"/>
      <c r="M17" s="3">
        <v>89.09</v>
      </c>
    </row>
    <row r="18" ht="20" customHeight="1" spans="1:13">
      <c r="A18" s="2">
        <v>17</v>
      </c>
      <c r="B18" s="2">
        <v>20230817201</v>
      </c>
      <c r="C18" s="2" t="s">
        <v>687</v>
      </c>
      <c r="D18" s="3">
        <v>96.8484848484848</v>
      </c>
      <c r="E18" s="3">
        <v>89.08</v>
      </c>
      <c r="F18" s="3">
        <v>89.25</v>
      </c>
      <c r="G18" s="3">
        <v>31</v>
      </c>
      <c r="H18" s="3"/>
      <c r="I18" s="3">
        <v>122.427545454545</v>
      </c>
      <c r="J18" s="3" t="s">
        <v>2054</v>
      </c>
      <c r="K18" s="3" t="s">
        <v>21</v>
      </c>
      <c r="L18" s="3"/>
      <c r="M18" s="3">
        <v>89.08</v>
      </c>
    </row>
    <row r="19" ht="20" customHeight="1" spans="1:13">
      <c r="A19" s="2">
        <v>18</v>
      </c>
      <c r="B19" s="2" t="s">
        <v>1864</v>
      </c>
      <c r="C19" s="2" t="s">
        <v>1865</v>
      </c>
      <c r="D19" s="3">
        <v>91.8297872340426</v>
      </c>
      <c r="E19" s="3">
        <v>88.3571428571429</v>
      </c>
      <c r="F19" s="3">
        <v>93</v>
      </c>
      <c r="G19" s="3"/>
      <c r="H19" s="3"/>
      <c r="I19" s="3">
        <v>89.8632218844985</v>
      </c>
      <c r="J19" s="3" t="s">
        <v>2054</v>
      </c>
      <c r="K19" s="3"/>
      <c r="L19" s="3"/>
      <c r="M19" s="3">
        <v>88.9375</v>
      </c>
    </row>
    <row r="20" ht="20" customHeight="1" spans="1:13">
      <c r="A20" s="2">
        <v>19</v>
      </c>
      <c r="B20" s="2" t="s">
        <v>1967</v>
      </c>
      <c r="C20" s="2" t="s">
        <v>1968</v>
      </c>
      <c r="D20" s="3">
        <v>97.1891891891892</v>
      </c>
      <c r="E20" s="3">
        <v>88.83</v>
      </c>
      <c r="F20" s="3"/>
      <c r="G20" s="3"/>
      <c r="H20" s="3"/>
      <c r="I20" s="3">
        <v>91.3377567567568</v>
      </c>
      <c r="J20" s="3" t="s">
        <v>2054</v>
      </c>
      <c r="K20" s="3" t="s">
        <v>21</v>
      </c>
      <c r="L20" s="3"/>
      <c r="M20" s="3">
        <v>88.83</v>
      </c>
    </row>
    <row r="21" ht="20" customHeight="1" spans="1:13">
      <c r="A21" s="2">
        <v>20</v>
      </c>
      <c r="B21" s="2">
        <v>20230802331</v>
      </c>
      <c r="C21" s="2" t="s">
        <v>322</v>
      </c>
      <c r="D21" s="3">
        <v>98.41</v>
      </c>
      <c r="E21" s="3">
        <v>88.64</v>
      </c>
      <c r="F21" s="3">
        <v>91</v>
      </c>
      <c r="G21" s="3">
        <v>23.5</v>
      </c>
      <c r="H21" s="3">
        <v>0</v>
      </c>
      <c r="I21" s="3">
        <v>115.307</v>
      </c>
      <c r="J21" s="3" t="s">
        <v>2054</v>
      </c>
      <c r="K21" s="3" t="s">
        <v>21</v>
      </c>
      <c r="L21" s="3"/>
      <c r="M21" s="3">
        <v>88.64</v>
      </c>
    </row>
    <row r="22" ht="20" customHeight="1" spans="1:13">
      <c r="A22" s="2">
        <v>21</v>
      </c>
      <c r="B22" s="2" t="s">
        <v>1970</v>
      </c>
      <c r="C22" s="2" t="s">
        <v>1971</v>
      </c>
      <c r="D22" s="3">
        <v>96.7837837837838</v>
      </c>
      <c r="E22" s="3">
        <v>88.5</v>
      </c>
      <c r="F22" s="3"/>
      <c r="G22" s="3"/>
      <c r="H22" s="3"/>
      <c r="I22" s="3">
        <v>90.9851351351351</v>
      </c>
      <c r="J22" s="3" t="s">
        <v>2054</v>
      </c>
      <c r="K22" s="3" t="s">
        <v>21</v>
      </c>
      <c r="L22" s="3"/>
      <c r="M22" s="3">
        <v>88.5</v>
      </c>
    </row>
    <row r="23" ht="20" customHeight="1" spans="1:13">
      <c r="A23" s="2">
        <v>22</v>
      </c>
      <c r="B23" s="2" t="s">
        <v>1973</v>
      </c>
      <c r="C23" s="2" t="s">
        <v>1974</v>
      </c>
      <c r="D23" s="3">
        <v>96.6756756756757</v>
      </c>
      <c r="E23" s="3">
        <v>88.5</v>
      </c>
      <c r="F23" s="3"/>
      <c r="G23" s="3"/>
      <c r="H23" s="3"/>
      <c r="I23" s="3">
        <v>90.9527027027027</v>
      </c>
      <c r="J23" s="3" t="s">
        <v>2054</v>
      </c>
      <c r="K23" s="3" t="s">
        <v>21</v>
      </c>
      <c r="L23" s="3"/>
      <c r="M23" s="3">
        <v>88.5</v>
      </c>
    </row>
    <row r="24" ht="20" customHeight="1" spans="1:13">
      <c r="A24" s="2">
        <v>23</v>
      </c>
      <c r="B24" s="2" t="s">
        <v>1975</v>
      </c>
      <c r="C24" s="2" t="s">
        <v>1976</v>
      </c>
      <c r="D24" s="3">
        <v>96.3783783783784</v>
      </c>
      <c r="E24" s="3">
        <v>88.5</v>
      </c>
      <c r="F24" s="3"/>
      <c r="G24" s="3"/>
      <c r="H24" s="3"/>
      <c r="I24" s="3">
        <v>90.8635135135135</v>
      </c>
      <c r="J24" s="3" t="s">
        <v>2054</v>
      </c>
      <c r="K24" s="3"/>
      <c r="L24" s="3"/>
      <c r="M24" s="3">
        <v>88.5</v>
      </c>
    </row>
    <row r="25" ht="20" customHeight="1" spans="1:13">
      <c r="A25" s="2">
        <v>24</v>
      </c>
      <c r="B25" s="2" t="s">
        <v>1667</v>
      </c>
      <c r="C25" s="2" t="s">
        <v>1668</v>
      </c>
      <c r="D25" s="3">
        <v>99</v>
      </c>
      <c r="E25" s="3">
        <v>88.47</v>
      </c>
      <c r="F25" s="3"/>
      <c r="G25" s="3">
        <v>1.5</v>
      </c>
      <c r="H25" s="3"/>
      <c r="I25" s="3">
        <v>91.629</v>
      </c>
      <c r="J25" s="3" t="s">
        <v>2054</v>
      </c>
      <c r="K25" s="3" t="s">
        <v>21</v>
      </c>
      <c r="L25" s="3"/>
      <c r="M25" s="3">
        <v>88.47</v>
      </c>
    </row>
    <row r="26" ht="20" customHeight="1" spans="1:13">
      <c r="A26" s="2">
        <v>25</v>
      </c>
      <c r="B26" s="2" t="s">
        <v>1521</v>
      </c>
      <c r="C26" s="2" t="s">
        <v>1522</v>
      </c>
      <c r="D26" s="3">
        <v>94.975</v>
      </c>
      <c r="E26" s="3">
        <v>88.4</v>
      </c>
      <c r="F26" s="3"/>
      <c r="G26" s="3">
        <v>1</v>
      </c>
      <c r="H26" s="3"/>
      <c r="I26" s="3">
        <v>91.3725</v>
      </c>
      <c r="J26" s="3" t="s">
        <v>2054</v>
      </c>
      <c r="K26" s="3" t="s">
        <v>21</v>
      </c>
      <c r="L26" s="3"/>
      <c r="M26" s="3">
        <v>88.4</v>
      </c>
    </row>
    <row r="27" ht="20" customHeight="1" spans="1:13">
      <c r="A27" s="2">
        <v>26</v>
      </c>
      <c r="B27" s="2" t="s">
        <v>1525</v>
      </c>
      <c r="C27" s="2" t="s">
        <v>1526</v>
      </c>
      <c r="D27" s="3">
        <v>94.75</v>
      </c>
      <c r="E27" s="3">
        <v>88.4</v>
      </c>
      <c r="F27" s="3"/>
      <c r="G27" s="3"/>
      <c r="H27" s="3"/>
      <c r="I27" s="3">
        <v>90.305</v>
      </c>
      <c r="J27" s="3" t="s">
        <v>2054</v>
      </c>
      <c r="K27" s="3"/>
      <c r="L27" s="3"/>
      <c r="M27" s="3">
        <v>88.4</v>
      </c>
    </row>
    <row r="28" ht="20" customHeight="1" spans="1:13">
      <c r="A28" s="2">
        <v>27</v>
      </c>
      <c r="B28" s="2" t="s">
        <v>1977</v>
      </c>
      <c r="C28" s="2" t="s">
        <v>1978</v>
      </c>
      <c r="D28" s="3">
        <v>96.4594594594595</v>
      </c>
      <c r="E28" s="3">
        <v>88.33</v>
      </c>
      <c r="F28" s="3"/>
      <c r="G28" s="3"/>
      <c r="H28" s="3"/>
      <c r="I28" s="3">
        <v>90.7688378378379</v>
      </c>
      <c r="J28" s="3" t="s">
        <v>2055</v>
      </c>
      <c r="K28" s="3"/>
      <c r="L28" s="3"/>
      <c r="M28" s="3">
        <v>88.33</v>
      </c>
    </row>
    <row r="29" ht="20" customHeight="1" spans="1:13">
      <c r="A29" s="2">
        <v>28</v>
      </c>
      <c r="B29" s="2">
        <v>20230805206</v>
      </c>
      <c r="C29" s="4" t="s">
        <v>415</v>
      </c>
      <c r="D29" s="3">
        <v>93</v>
      </c>
      <c r="E29" s="3">
        <v>88.2727272727273</v>
      </c>
      <c r="F29" s="3">
        <v>87</v>
      </c>
      <c r="G29" s="3"/>
      <c r="H29" s="3"/>
      <c r="I29" s="3">
        <v>89.5636363636364</v>
      </c>
      <c r="J29" s="6" t="s">
        <v>2053</v>
      </c>
      <c r="K29" s="3"/>
      <c r="L29" s="3"/>
      <c r="M29" s="3">
        <v>88.27</v>
      </c>
    </row>
    <row r="30" ht="20" customHeight="1" spans="1:13">
      <c r="A30" s="2">
        <v>29</v>
      </c>
      <c r="B30" s="2">
        <v>20230817212</v>
      </c>
      <c r="C30" s="2" t="s">
        <v>695</v>
      </c>
      <c r="D30" s="3">
        <v>95.6666666666667</v>
      </c>
      <c r="E30" s="3">
        <v>88.17</v>
      </c>
      <c r="F30" s="3">
        <v>84.75</v>
      </c>
      <c r="G30" s="3">
        <v>2.5</v>
      </c>
      <c r="H30" s="3"/>
      <c r="I30" s="3">
        <v>92.577</v>
      </c>
      <c r="J30" s="3" t="s">
        <v>2055</v>
      </c>
      <c r="K30" s="3" t="s">
        <v>21</v>
      </c>
      <c r="L30" s="3"/>
      <c r="M30" s="3">
        <v>88.17</v>
      </c>
    </row>
    <row r="31" ht="20" customHeight="1" spans="1:13">
      <c r="A31" s="2">
        <v>30</v>
      </c>
      <c r="B31" s="2" t="s">
        <v>1950</v>
      </c>
      <c r="C31" s="2" t="s">
        <v>1951</v>
      </c>
      <c r="D31" s="3">
        <v>96.4864864864865</v>
      </c>
      <c r="E31" s="3">
        <v>88.08</v>
      </c>
      <c r="F31" s="3"/>
      <c r="G31" s="3">
        <v>5.5</v>
      </c>
      <c r="H31" s="3"/>
      <c r="I31" s="3">
        <v>96.1019459459459</v>
      </c>
      <c r="J31" s="3" t="s">
        <v>2055</v>
      </c>
      <c r="K31" s="3" t="s">
        <v>21</v>
      </c>
      <c r="L31" s="3"/>
      <c r="M31" s="3">
        <v>88.08</v>
      </c>
    </row>
    <row r="32" ht="20" customHeight="1" spans="1:13">
      <c r="A32" s="2">
        <v>31</v>
      </c>
      <c r="B32" s="2" t="s">
        <v>1121</v>
      </c>
      <c r="C32" s="2" t="s">
        <v>1122</v>
      </c>
      <c r="D32" s="3">
        <v>94</v>
      </c>
      <c r="E32" s="3">
        <v>88.07</v>
      </c>
      <c r="F32" s="3"/>
      <c r="G32" s="3"/>
      <c r="H32" s="3"/>
      <c r="I32" s="3">
        <v>89.849</v>
      </c>
      <c r="J32" s="3" t="s">
        <v>2055</v>
      </c>
      <c r="K32" s="3" t="s">
        <v>21</v>
      </c>
      <c r="L32" s="3"/>
      <c r="M32" s="3">
        <v>88.07</v>
      </c>
    </row>
    <row r="33" ht="20" customHeight="1" spans="1:13">
      <c r="A33" s="2">
        <v>32</v>
      </c>
      <c r="B33" s="2">
        <v>20230817232</v>
      </c>
      <c r="C33" s="2" t="s">
        <v>691</v>
      </c>
      <c r="D33" s="3">
        <v>95.969696969697</v>
      </c>
      <c r="E33" s="3">
        <v>87.92</v>
      </c>
      <c r="F33" s="3">
        <v>92.5</v>
      </c>
      <c r="G33" s="3">
        <v>12</v>
      </c>
      <c r="H33" s="3"/>
      <c r="I33" s="3">
        <v>102.792909090909</v>
      </c>
      <c r="J33" s="3" t="s">
        <v>2055</v>
      </c>
      <c r="K33" s="3" t="s">
        <v>21</v>
      </c>
      <c r="L33" s="3"/>
      <c r="M33" s="3">
        <v>87.92</v>
      </c>
    </row>
    <row r="34" ht="20" customHeight="1" spans="1:13">
      <c r="A34" s="2">
        <v>33</v>
      </c>
      <c r="B34" s="2">
        <v>20230801107</v>
      </c>
      <c r="C34" s="2" t="s">
        <v>40</v>
      </c>
      <c r="D34" s="3">
        <v>96.68</v>
      </c>
      <c r="E34" s="3">
        <v>87.91</v>
      </c>
      <c r="F34" s="3">
        <v>88.5</v>
      </c>
      <c r="G34" s="3">
        <v>0</v>
      </c>
      <c r="H34" s="5">
        <v>2</v>
      </c>
      <c r="I34" s="3">
        <v>88.6</v>
      </c>
      <c r="J34" s="6" t="s">
        <v>2056</v>
      </c>
      <c r="K34" s="3"/>
      <c r="L34" s="3"/>
      <c r="M34" s="3">
        <v>87.91</v>
      </c>
    </row>
    <row r="35" ht="20" customHeight="1" spans="1:13">
      <c r="A35" s="2">
        <v>34</v>
      </c>
      <c r="B35" s="2">
        <v>20230802224</v>
      </c>
      <c r="C35" s="2" t="s">
        <v>239</v>
      </c>
      <c r="D35" s="3">
        <v>96.8</v>
      </c>
      <c r="E35" s="3">
        <v>87.91</v>
      </c>
      <c r="F35" s="3">
        <v>84</v>
      </c>
      <c r="G35" s="3"/>
      <c r="H35" s="3"/>
      <c r="I35" s="3">
        <v>90.186</v>
      </c>
      <c r="J35" s="3" t="s">
        <v>2055</v>
      </c>
      <c r="K35" s="3" t="s">
        <v>21</v>
      </c>
      <c r="L35" s="3"/>
      <c r="M35" s="3">
        <v>87.91</v>
      </c>
    </row>
    <row r="36" ht="20" customHeight="1" spans="1:13">
      <c r="A36" s="2">
        <v>35</v>
      </c>
      <c r="B36" s="2" t="s">
        <v>1866</v>
      </c>
      <c r="C36" s="2" t="s">
        <v>1867</v>
      </c>
      <c r="D36" s="3">
        <v>90.5744680851064</v>
      </c>
      <c r="E36" s="3">
        <v>86.5714285714286</v>
      </c>
      <c r="F36" s="3">
        <v>97</v>
      </c>
      <c r="G36" s="3"/>
      <c r="H36" s="3"/>
      <c r="I36" s="3">
        <v>88.8151975683891</v>
      </c>
      <c r="J36" s="3" t="s">
        <v>2055</v>
      </c>
      <c r="K36" s="3" t="s">
        <v>21</v>
      </c>
      <c r="L36" s="3"/>
      <c r="M36" s="3">
        <v>87.875</v>
      </c>
    </row>
    <row r="37" ht="20" customHeight="1" spans="1:13">
      <c r="A37" s="2">
        <v>36</v>
      </c>
      <c r="B37" s="2" t="s">
        <v>1529</v>
      </c>
      <c r="C37" s="2" t="s">
        <v>1530</v>
      </c>
      <c r="D37" s="3">
        <v>95.3</v>
      </c>
      <c r="E37" s="3">
        <v>87.87</v>
      </c>
      <c r="F37" s="3"/>
      <c r="G37" s="3"/>
      <c r="H37" s="3"/>
      <c r="I37" s="3">
        <v>90.099</v>
      </c>
      <c r="J37" s="3" t="s">
        <v>2055</v>
      </c>
      <c r="K37" s="3"/>
      <c r="L37" s="3"/>
      <c r="M37" s="3">
        <v>87.87</v>
      </c>
    </row>
    <row r="38" ht="20" customHeight="1" spans="1:13">
      <c r="A38" s="2">
        <v>37</v>
      </c>
      <c r="B38" s="2" t="s">
        <v>1983</v>
      </c>
      <c r="C38" s="2" t="s">
        <v>1984</v>
      </c>
      <c r="D38" s="3">
        <v>96.4864864864865</v>
      </c>
      <c r="E38" s="3">
        <v>87.83</v>
      </c>
      <c r="F38" s="3"/>
      <c r="G38" s="3"/>
      <c r="H38" s="3"/>
      <c r="I38" s="3">
        <v>90.4269459459459</v>
      </c>
      <c r="J38" s="3" t="s">
        <v>2055</v>
      </c>
      <c r="K38" s="3"/>
      <c r="L38" s="3"/>
      <c r="M38" s="3">
        <v>87.83</v>
      </c>
    </row>
    <row r="39" ht="20" customHeight="1" spans="1:13">
      <c r="A39" s="2">
        <v>38</v>
      </c>
      <c r="B39" s="2">
        <v>20230802301</v>
      </c>
      <c r="C39" s="2" t="s">
        <v>328</v>
      </c>
      <c r="D39" s="3">
        <v>98.91</v>
      </c>
      <c r="E39" s="3">
        <v>87.82</v>
      </c>
      <c r="F39" s="3">
        <v>81.75</v>
      </c>
      <c r="G39" s="3">
        <v>5.5</v>
      </c>
      <c r="H39" s="3">
        <v>0</v>
      </c>
      <c r="I39" s="3">
        <v>96.04</v>
      </c>
      <c r="J39" s="3" t="s">
        <v>2055</v>
      </c>
      <c r="K39" s="3"/>
      <c r="L39" s="3" t="s">
        <v>21</v>
      </c>
      <c r="M39" s="3">
        <v>87.82</v>
      </c>
    </row>
    <row r="40" ht="20" customHeight="1" spans="1:13">
      <c r="A40" s="2">
        <v>39</v>
      </c>
      <c r="B40" s="2" t="s">
        <v>853</v>
      </c>
      <c r="C40" s="2" t="s">
        <v>854</v>
      </c>
      <c r="D40" s="3">
        <v>100</v>
      </c>
      <c r="E40" s="3">
        <v>87.82</v>
      </c>
      <c r="F40" s="3"/>
      <c r="G40" s="3">
        <v>7.5</v>
      </c>
      <c r="H40" s="3"/>
      <c r="I40" s="3">
        <v>98.974</v>
      </c>
      <c r="J40" s="3" t="s">
        <v>2055</v>
      </c>
      <c r="K40" s="3" t="s">
        <v>21</v>
      </c>
      <c r="L40" s="3"/>
      <c r="M40" s="3">
        <v>87.82</v>
      </c>
    </row>
    <row r="41" ht="20" customHeight="1" spans="1:13">
      <c r="A41" s="2">
        <v>40</v>
      </c>
      <c r="B41" s="2" t="s">
        <v>1408</v>
      </c>
      <c r="C41" s="2" t="s">
        <v>1409</v>
      </c>
      <c r="D41" s="3">
        <v>97</v>
      </c>
      <c r="E41" s="3">
        <v>87.8</v>
      </c>
      <c r="F41" s="3"/>
      <c r="G41" s="3"/>
      <c r="H41" s="3"/>
      <c r="I41" s="3">
        <v>90.56</v>
      </c>
      <c r="J41" s="3" t="s">
        <v>2055</v>
      </c>
      <c r="K41" s="3" t="s">
        <v>21</v>
      </c>
      <c r="L41" s="3"/>
      <c r="M41" s="3">
        <v>87.8</v>
      </c>
    </row>
    <row r="42" ht="20" customHeight="1" spans="1:13">
      <c r="A42" s="2">
        <v>41</v>
      </c>
      <c r="B42" s="2">
        <v>20220815215</v>
      </c>
      <c r="C42" s="2" t="s">
        <v>405</v>
      </c>
      <c r="D42" s="3">
        <v>94.4054054054054</v>
      </c>
      <c r="E42" s="3">
        <v>87.7272727272727</v>
      </c>
      <c r="F42" s="3">
        <v>85.75</v>
      </c>
      <c r="G42" s="3">
        <v>5</v>
      </c>
      <c r="H42" s="3"/>
      <c r="I42" s="3">
        <v>94.5329852579852</v>
      </c>
      <c r="J42" s="3" t="s">
        <v>2055</v>
      </c>
      <c r="K42" s="3" t="s">
        <v>21</v>
      </c>
      <c r="L42" s="3"/>
      <c r="M42" s="3">
        <v>87.73</v>
      </c>
    </row>
    <row r="43" ht="20" customHeight="1" spans="1:13">
      <c r="A43" s="2">
        <v>42</v>
      </c>
      <c r="B43" s="2" t="s">
        <v>1986</v>
      </c>
      <c r="C43" s="2" t="s">
        <v>1987</v>
      </c>
      <c r="D43" s="3">
        <v>96.2972972972973</v>
      </c>
      <c r="E43" s="3">
        <v>87.67</v>
      </c>
      <c r="F43" s="3"/>
      <c r="G43" s="3"/>
      <c r="H43" s="3"/>
      <c r="I43" s="3">
        <v>90.2581891891892</v>
      </c>
      <c r="J43" s="3" t="s">
        <v>2055</v>
      </c>
      <c r="K43" s="3"/>
      <c r="L43" s="3"/>
      <c r="M43" s="3">
        <v>87.67</v>
      </c>
    </row>
    <row r="44" ht="20" customHeight="1" spans="1:13">
      <c r="A44" s="2">
        <v>43</v>
      </c>
      <c r="B44" s="2">
        <v>20230802303</v>
      </c>
      <c r="C44" s="2" t="s">
        <v>321</v>
      </c>
      <c r="D44" s="3">
        <v>98.44</v>
      </c>
      <c r="E44" s="3">
        <v>87.55</v>
      </c>
      <c r="F44" s="3">
        <v>85.25</v>
      </c>
      <c r="G44" s="3">
        <v>26.5</v>
      </c>
      <c r="H44" s="3">
        <v>0</v>
      </c>
      <c r="I44" s="3">
        <v>117.087</v>
      </c>
      <c r="J44" s="3" t="s">
        <v>2055</v>
      </c>
      <c r="K44" s="3" t="s">
        <v>21</v>
      </c>
      <c r="L44" s="3"/>
      <c r="M44" s="3">
        <v>87.55</v>
      </c>
    </row>
    <row r="45" ht="20" customHeight="1" spans="1:13">
      <c r="A45" s="2">
        <v>44</v>
      </c>
      <c r="B45" s="2" t="s">
        <v>1964</v>
      </c>
      <c r="C45" s="2" t="s">
        <v>1965</v>
      </c>
      <c r="D45" s="3">
        <v>96.054054054054</v>
      </c>
      <c r="E45" s="3">
        <v>87.42</v>
      </c>
      <c r="F45" s="3"/>
      <c r="G45" s="3">
        <v>2</v>
      </c>
      <c r="H45" s="3"/>
      <c r="I45" s="3">
        <v>92.0102162162162</v>
      </c>
      <c r="J45" s="3" t="s">
        <v>2055</v>
      </c>
      <c r="K45" s="3"/>
      <c r="L45" s="3" t="s">
        <v>21</v>
      </c>
      <c r="M45" s="3">
        <v>87.42</v>
      </c>
    </row>
    <row r="46" ht="20" customHeight="1" spans="1:13">
      <c r="A46" s="2">
        <v>45</v>
      </c>
      <c r="B46" s="2" t="s">
        <v>1119</v>
      </c>
      <c r="C46" s="2" t="s">
        <v>1120</v>
      </c>
      <c r="D46" s="3">
        <v>95</v>
      </c>
      <c r="E46" s="3">
        <v>87.4</v>
      </c>
      <c r="F46" s="3"/>
      <c r="G46" s="3">
        <v>1</v>
      </c>
      <c r="H46" s="3"/>
      <c r="I46" s="3">
        <v>90.68</v>
      </c>
      <c r="J46" s="3" t="s">
        <v>2055</v>
      </c>
      <c r="K46" s="3" t="s">
        <v>21</v>
      </c>
      <c r="L46" s="3"/>
      <c r="M46" s="3">
        <v>87.4</v>
      </c>
    </row>
    <row r="47" ht="20" customHeight="1" spans="1:13">
      <c r="A47" s="2">
        <v>46</v>
      </c>
      <c r="B47" s="2">
        <v>20230805338</v>
      </c>
      <c r="C47" s="2" t="s">
        <v>490</v>
      </c>
      <c r="D47" s="3">
        <v>98.16</v>
      </c>
      <c r="E47" s="3">
        <v>87.36</v>
      </c>
      <c r="F47" s="3">
        <v>81.5</v>
      </c>
      <c r="G47" s="3"/>
      <c r="H47" s="3"/>
      <c r="I47" s="3">
        <v>90.014</v>
      </c>
      <c r="J47" s="3" t="s">
        <v>2055</v>
      </c>
      <c r="K47" s="3" t="s">
        <v>21</v>
      </c>
      <c r="L47" s="3"/>
      <c r="M47" s="3">
        <v>87.36</v>
      </c>
    </row>
    <row r="48" ht="20" customHeight="1" spans="1:13">
      <c r="A48" s="2">
        <v>47</v>
      </c>
      <c r="B48" s="2" t="s">
        <v>1956</v>
      </c>
      <c r="C48" s="2" t="s">
        <v>1957</v>
      </c>
      <c r="D48" s="3">
        <v>98</v>
      </c>
      <c r="E48" s="3">
        <v>87.33</v>
      </c>
      <c r="F48" s="3"/>
      <c r="G48" s="3">
        <v>2</v>
      </c>
      <c r="H48" s="3"/>
      <c r="I48" s="3">
        <v>92.531</v>
      </c>
      <c r="J48" s="3" t="s">
        <v>2055</v>
      </c>
      <c r="K48" s="3" t="s">
        <v>21</v>
      </c>
      <c r="L48" s="3"/>
      <c r="M48" s="3">
        <v>87.33</v>
      </c>
    </row>
    <row r="49" ht="20" customHeight="1" spans="1:13">
      <c r="A49" s="2">
        <v>48</v>
      </c>
      <c r="B49" s="2">
        <v>20230802127</v>
      </c>
      <c r="C49" s="2" t="s">
        <v>138</v>
      </c>
      <c r="D49" s="3">
        <v>95.97</v>
      </c>
      <c r="E49" s="3">
        <v>87.27</v>
      </c>
      <c r="F49" s="3">
        <v>87.75</v>
      </c>
      <c r="G49" s="3">
        <v>1</v>
      </c>
      <c r="H49" s="3"/>
      <c r="I49" s="3">
        <v>90.928</v>
      </c>
      <c r="J49" s="3" t="s">
        <v>2055</v>
      </c>
      <c r="K49" s="3"/>
      <c r="L49" s="3" t="s">
        <v>21</v>
      </c>
      <c r="M49" s="3">
        <v>87.27</v>
      </c>
    </row>
    <row r="50" ht="20" customHeight="1" spans="1:13">
      <c r="A50" s="2">
        <v>49</v>
      </c>
      <c r="B50" s="2">
        <v>20230805208</v>
      </c>
      <c r="C50" s="2" t="s">
        <v>419</v>
      </c>
      <c r="D50" s="3">
        <v>89.9189189189189</v>
      </c>
      <c r="E50" s="3">
        <v>87.2727272727273</v>
      </c>
      <c r="F50" s="3">
        <v>87.5</v>
      </c>
      <c r="G50" s="3"/>
      <c r="H50" s="3"/>
      <c r="I50" s="3">
        <v>88.089312039312</v>
      </c>
      <c r="J50" s="3" t="s">
        <v>2055</v>
      </c>
      <c r="K50" s="3" t="s">
        <v>21</v>
      </c>
      <c r="L50" s="3"/>
      <c r="M50" s="3">
        <v>87.27</v>
      </c>
    </row>
    <row r="51" ht="20" customHeight="1" spans="1:13">
      <c r="A51" s="2">
        <v>50</v>
      </c>
      <c r="B51" s="2">
        <v>20230805305</v>
      </c>
      <c r="C51" s="2" t="s">
        <v>483</v>
      </c>
      <c r="D51" s="3">
        <v>98.05</v>
      </c>
      <c r="E51" s="3">
        <v>87.27</v>
      </c>
      <c r="F51" s="3">
        <v>83.5</v>
      </c>
      <c r="G51" s="3">
        <v>6</v>
      </c>
      <c r="H51" s="3"/>
      <c r="I51" s="3">
        <v>96.127</v>
      </c>
      <c r="J51" s="3" t="s">
        <v>2055</v>
      </c>
      <c r="K51" s="3" t="s">
        <v>21</v>
      </c>
      <c r="L51" s="3"/>
      <c r="M51" s="3">
        <v>87.27</v>
      </c>
    </row>
    <row r="52" ht="20" customHeight="1" spans="1:13">
      <c r="A52" s="2">
        <v>51</v>
      </c>
      <c r="B52" s="2" t="s">
        <v>1286</v>
      </c>
      <c r="C52" s="2" t="s">
        <v>1287</v>
      </c>
      <c r="D52" s="3">
        <v>100</v>
      </c>
      <c r="E52" s="3">
        <v>87.27</v>
      </c>
      <c r="F52" s="3"/>
      <c r="G52" s="3">
        <v>3.5</v>
      </c>
      <c r="H52" s="3"/>
      <c r="I52" s="3">
        <v>94.589</v>
      </c>
      <c r="J52" s="3" t="s">
        <v>2055</v>
      </c>
      <c r="K52" s="3" t="s">
        <v>21</v>
      </c>
      <c r="L52" s="3"/>
      <c r="M52" s="3">
        <v>87.27</v>
      </c>
    </row>
    <row r="53" ht="20" customHeight="1" spans="1:13">
      <c r="A53" s="2">
        <v>52</v>
      </c>
      <c r="B53" s="2">
        <v>20230817220</v>
      </c>
      <c r="C53" s="2" t="s">
        <v>697</v>
      </c>
      <c r="D53" s="3">
        <v>96.0909090909091</v>
      </c>
      <c r="E53" s="3">
        <v>87.25</v>
      </c>
      <c r="F53" s="3">
        <v>89.75</v>
      </c>
      <c r="G53" s="3">
        <v>1.5</v>
      </c>
      <c r="H53" s="3"/>
      <c r="I53" s="3">
        <v>91.6522727272727</v>
      </c>
      <c r="J53" s="3" t="s">
        <v>2055</v>
      </c>
      <c r="K53" s="3"/>
      <c r="L53" s="3"/>
      <c r="M53" s="3">
        <v>87.25</v>
      </c>
    </row>
    <row r="54" ht="20" customHeight="1" spans="1:13">
      <c r="A54" s="2">
        <v>53</v>
      </c>
      <c r="B54" s="2" t="s">
        <v>1961</v>
      </c>
      <c r="C54" s="2" t="s">
        <v>1962</v>
      </c>
      <c r="D54" s="3">
        <v>97.054054054054</v>
      </c>
      <c r="E54" s="3">
        <v>87.17</v>
      </c>
      <c r="F54" s="3"/>
      <c r="G54" s="3">
        <v>2</v>
      </c>
      <c r="H54" s="3"/>
      <c r="I54" s="3">
        <v>92.1352162162162</v>
      </c>
      <c r="J54" s="3" t="s">
        <v>2055</v>
      </c>
      <c r="K54" s="3"/>
      <c r="L54" s="3" t="s">
        <v>21</v>
      </c>
      <c r="M54" s="3">
        <v>87.17</v>
      </c>
    </row>
    <row r="55" ht="20" customHeight="1" spans="1:13">
      <c r="A55" s="2">
        <v>54</v>
      </c>
      <c r="B55" s="2" t="s">
        <v>1200</v>
      </c>
      <c r="C55" s="2" t="s">
        <v>1201</v>
      </c>
      <c r="D55" s="3">
        <v>90.18</v>
      </c>
      <c r="E55" s="3">
        <v>87.13</v>
      </c>
      <c r="F55" s="3"/>
      <c r="G55" s="3">
        <v>1</v>
      </c>
      <c r="H55" s="3"/>
      <c r="I55" s="3">
        <v>89.045</v>
      </c>
      <c r="J55" s="3" t="s">
        <v>2055</v>
      </c>
      <c r="K55" s="3" t="s">
        <v>21</v>
      </c>
      <c r="L55" s="3"/>
      <c r="M55" s="3">
        <v>87.13</v>
      </c>
    </row>
    <row r="56" ht="20" customHeight="1" spans="1:13">
      <c r="A56" s="2">
        <v>55</v>
      </c>
      <c r="B56" s="2" t="s">
        <v>1870</v>
      </c>
      <c r="C56" s="2" t="s">
        <v>1871</v>
      </c>
      <c r="D56" s="3">
        <v>91.2978723404255</v>
      </c>
      <c r="E56" s="3">
        <v>86.2857142857143</v>
      </c>
      <c r="F56" s="3">
        <v>92.5</v>
      </c>
      <c r="G56" s="3"/>
      <c r="H56" s="3"/>
      <c r="I56" s="3">
        <v>88.4107902735562</v>
      </c>
      <c r="J56" s="3"/>
      <c r="K56" s="3" t="s">
        <v>21</v>
      </c>
      <c r="L56" s="3"/>
      <c r="M56" s="3">
        <v>87.0625</v>
      </c>
    </row>
    <row r="57" ht="20" customHeight="1" spans="1:13">
      <c r="A57" s="2">
        <v>56</v>
      </c>
      <c r="B57" s="2" t="s">
        <v>1790</v>
      </c>
      <c r="C57" s="2" t="s">
        <v>1791</v>
      </c>
      <c r="D57" s="3">
        <v>90</v>
      </c>
      <c r="E57" s="3">
        <v>87.05</v>
      </c>
      <c r="F57" s="3"/>
      <c r="G57" s="3">
        <v>1</v>
      </c>
      <c r="H57" s="3"/>
      <c r="I57" s="3">
        <v>88.935</v>
      </c>
      <c r="J57" s="3"/>
      <c r="K57" s="3"/>
      <c r="L57" s="3" t="s">
        <v>21</v>
      </c>
      <c r="M57" s="3">
        <v>87.05</v>
      </c>
    </row>
    <row r="58" ht="20" customHeight="1" spans="1:13">
      <c r="A58" s="2">
        <v>57</v>
      </c>
      <c r="B58" s="2">
        <v>20230801115</v>
      </c>
      <c r="C58" s="2" t="s">
        <v>26</v>
      </c>
      <c r="D58" s="3">
        <v>93.56</v>
      </c>
      <c r="E58" s="3">
        <v>87</v>
      </c>
      <c r="F58" s="3">
        <v>80.5</v>
      </c>
      <c r="G58" s="3">
        <v>6</v>
      </c>
      <c r="H58" s="3">
        <v>0</v>
      </c>
      <c r="I58" s="3">
        <v>94.318</v>
      </c>
      <c r="J58" s="3"/>
      <c r="K58" s="3" t="s">
        <v>21</v>
      </c>
      <c r="L58" s="3"/>
      <c r="M58" s="3">
        <v>87</v>
      </c>
    </row>
    <row r="59" ht="20" customHeight="1" spans="1:13">
      <c r="A59" s="2">
        <v>58</v>
      </c>
      <c r="B59" s="2">
        <v>20230801130</v>
      </c>
      <c r="C59" s="2" t="s">
        <v>35</v>
      </c>
      <c r="D59" s="3">
        <v>97.46</v>
      </c>
      <c r="E59" s="3">
        <v>87</v>
      </c>
      <c r="F59" s="3">
        <v>78.75</v>
      </c>
      <c r="G59" s="3">
        <v>0</v>
      </c>
      <c r="H59" s="3">
        <v>0</v>
      </c>
      <c r="I59" s="3">
        <v>89.313</v>
      </c>
      <c r="J59" s="3"/>
      <c r="K59" s="3"/>
      <c r="L59" s="3"/>
      <c r="M59" s="3">
        <v>87</v>
      </c>
    </row>
    <row r="60" ht="20" customHeight="1" spans="1:13">
      <c r="A60" s="2">
        <v>59</v>
      </c>
      <c r="B60" s="2">
        <v>20230805323</v>
      </c>
      <c r="C60" s="2" t="s">
        <v>493</v>
      </c>
      <c r="D60" s="3">
        <v>97.79</v>
      </c>
      <c r="E60" s="3">
        <v>87</v>
      </c>
      <c r="F60" s="3">
        <v>84</v>
      </c>
      <c r="G60" s="3"/>
      <c r="H60" s="3"/>
      <c r="I60" s="3">
        <v>89.937</v>
      </c>
      <c r="J60" s="3"/>
      <c r="K60" s="3" t="s">
        <v>21</v>
      </c>
      <c r="L60" s="3"/>
      <c r="M60" s="3">
        <v>87</v>
      </c>
    </row>
    <row r="61" ht="20" customHeight="1" spans="1:13">
      <c r="A61" s="2">
        <v>60</v>
      </c>
      <c r="B61" s="2" t="s">
        <v>1959</v>
      </c>
      <c r="C61" s="2" t="s">
        <v>1960</v>
      </c>
      <c r="D61" s="3">
        <v>98.2972972972973</v>
      </c>
      <c r="E61" s="3">
        <v>87</v>
      </c>
      <c r="F61" s="3"/>
      <c r="G61" s="3">
        <v>2</v>
      </c>
      <c r="H61" s="3"/>
      <c r="I61" s="3">
        <v>92.3891891891892</v>
      </c>
      <c r="J61" s="3"/>
      <c r="K61" s="3" t="s">
        <v>21</v>
      </c>
      <c r="L61" s="3"/>
      <c r="M61" s="3">
        <v>87</v>
      </c>
    </row>
    <row r="62" ht="20" customHeight="1" spans="1:13">
      <c r="A62" s="2">
        <v>61</v>
      </c>
      <c r="B62" s="2" t="s">
        <v>1527</v>
      </c>
      <c r="C62" s="2" t="s">
        <v>1528</v>
      </c>
      <c r="D62" s="3">
        <v>94.525</v>
      </c>
      <c r="E62" s="3">
        <v>86.93</v>
      </c>
      <c r="F62" s="3"/>
      <c r="G62" s="3">
        <v>1</v>
      </c>
      <c r="H62" s="3"/>
      <c r="I62" s="3">
        <v>90.2085</v>
      </c>
      <c r="J62" s="3"/>
      <c r="K62" s="3" t="s">
        <v>21</v>
      </c>
      <c r="L62" s="3"/>
      <c r="M62" s="3">
        <v>86.93</v>
      </c>
    </row>
    <row r="63" ht="20" customHeight="1" spans="1:13">
      <c r="A63" s="2">
        <v>62</v>
      </c>
      <c r="B63" s="2">
        <v>20230805205</v>
      </c>
      <c r="C63" s="2" t="s">
        <v>413</v>
      </c>
      <c r="D63" s="3">
        <v>93.2162162162162</v>
      </c>
      <c r="E63" s="3">
        <v>86.9090909090909</v>
      </c>
      <c r="F63" s="3">
        <v>87.25</v>
      </c>
      <c r="G63" s="3">
        <v>2</v>
      </c>
      <c r="H63" s="3"/>
      <c r="I63" s="3">
        <v>90.8353194103194</v>
      </c>
      <c r="J63" s="3"/>
      <c r="K63" s="3"/>
      <c r="L63" s="3"/>
      <c r="M63" s="3">
        <v>86.91</v>
      </c>
    </row>
    <row r="64" ht="20" customHeight="1" spans="1:13">
      <c r="A64" s="2">
        <v>63</v>
      </c>
      <c r="B64" s="2" t="s">
        <v>1294</v>
      </c>
      <c r="C64" s="2" t="s">
        <v>1295</v>
      </c>
      <c r="D64" s="3">
        <v>100</v>
      </c>
      <c r="E64" s="3">
        <v>86.87</v>
      </c>
      <c r="F64" s="3"/>
      <c r="G64" s="3">
        <v>2.5</v>
      </c>
      <c r="H64" s="3"/>
      <c r="I64" s="3">
        <v>93.309</v>
      </c>
      <c r="J64" s="3"/>
      <c r="K64" s="3" t="s">
        <v>21</v>
      </c>
      <c r="L64" s="3"/>
      <c r="M64" s="3">
        <v>86.87</v>
      </c>
    </row>
    <row r="65" ht="20" customHeight="1" spans="1:13">
      <c r="A65" s="2">
        <v>64</v>
      </c>
      <c r="B65" s="2">
        <v>20230817237</v>
      </c>
      <c r="C65" s="2" t="s">
        <v>705</v>
      </c>
      <c r="D65" s="3">
        <v>95.5454545454545</v>
      </c>
      <c r="E65" s="3">
        <v>86.83</v>
      </c>
      <c r="F65" s="3">
        <v>83.5</v>
      </c>
      <c r="G65" s="3"/>
      <c r="H65" s="3"/>
      <c r="I65" s="3">
        <v>89.1116363636363</v>
      </c>
      <c r="J65" s="3"/>
      <c r="K65" s="3"/>
      <c r="L65" s="3"/>
      <c r="M65" s="3">
        <v>86.83</v>
      </c>
    </row>
    <row r="66" ht="20" customHeight="1" spans="1:13">
      <c r="A66" s="2">
        <v>65</v>
      </c>
      <c r="B66" s="2" t="s">
        <v>1677</v>
      </c>
      <c r="C66" s="2" t="s">
        <v>1678</v>
      </c>
      <c r="D66" s="3">
        <v>99</v>
      </c>
      <c r="E66" s="3">
        <v>86.71</v>
      </c>
      <c r="F66" s="3"/>
      <c r="G66" s="3">
        <v>1.5</v>
      </c>
      <c r="H66" s="3"/>
      <c r="I66" s="3">
        <v>90.397</v>
      </c>
      <c r="J66" s="3"/>
      <c r="K66" s="3" t="s">
        <v>21</v>
      </c>
      <c r="L66" s="3"/>
      <c r="M66" s="3">
        <v>86.71</v>
      </c>
    </row>
    <row r="67" ht="20" customHeight="1" spans="1:13">
      <c r="A67" s="2">
        <v>66</v>
      </c>
      <c r="B67" s="2" t="s">
        <v>1533</v>
      </c>
      <c r="C67" s="2" t="s">
        <v>1534</v>
      </c>
      <c r="D67" s="3">
        <v>94.15</v>
      </c>
      <c r="E67" s="3">
        <v>86.67</v>
      </c>
      <c r="F67" s="3"/>
      <c r="G67" s="3"/>
      <c r="H67" s="3"/>
      <c r="I67" s="3">
        <v>88.914</v>
      </c>
      <c r="J67" s="3"/>
      <c r="K67" s="3"/>
      <c r="L67" s="3"/>
      <c r="M67" s="3">
        <v>86.67</v>
      </c>
    </row>
    <row r="68" ht="20" customHeight="1" spans="1:13">
      <c r="A68" s="2">
        <v>67</v>
      </c>
      <c r="B68" s="2" t="s">
        <v>1860</v>
      </c>
      <c r="C68" s="2" t="s">
        <v>1861</v>
      </c>
      <c r="D68" s="3">
        <v>92.0425531914894</v>
      </c>
      <c r="E68" s="3">
        <v>86.3571428571429</v>
      </c>
      <c r="F68" s="3">
        <v>88.5</v>
      </c>
      <c r="G68" s="3">
        <v>3</v>
      </c>
      <c r="H68" s="3"/>
      <c r="I68" s="3">
        <v>91.2770516717326</v>
      </c>
      <c r="J68" s="3"/>
      <c r="K68" s="3"/>
      <c r="L68" s="3" t="s">
        <v>21</v>
      </c>
      <c r="M68" s="3">
        <v>86.625</v>
      </c>
    </row>
    <row r="69" ht="20" customHeight="1" spans="1:13">
      <c r="A69" s="2">
        <v>68</v>
      </c>
      <c r="B69" s="2" t="s">
        <v>1874</v>
      </c>
      <c r="C69" s="2" t="s">
        <v>1875</v>
      </c>
      <c r="D69" s="3">
        <v>91.8936170212766</v>
      </c>
      <c r="E69" s="3">
        <v>86.0714285714286</v>
      </c>
      <c r="F69" s="3">
        <v>90.5</v>
      </c>
      <c r="G69" s="3"/>
      <c r="H69" s="3"/>
      <c r="I69" s="3">
        <v>88.2609422492401</v>
      </c>
      <c r="J69" s="3"/>
      <c r="K69" s="3" t="s">
        <v>21</v>
      </c>
      <c r="L69" s="3"/>
      <c r="M69" s="3">
        <v>86.625</v>
      </c>
    </row>
    <row r="70" ht="20" customHeight="1" spans="1:13">
      <c r="A70" s="2">
        <v>69</v>
      </c>
      <c r="B70" s="2" t="s">
        <v>1953</v>
      </c>
      <c r="C70" s="2" t="s">
        <v>1954</v>
      </c>
      <c r="D70" s="3">
        <v>96.5135135135135</v>
      </c>
      <c r="E70" s="3">
        <v>86.58</v>
      </c>
      <c r="F70" s="3"/>
      <c r="G70" s="3">
        <v>5.5</v>
      </c>
      <c r="H70" s="3"/>
      <c r="I70" s="3">
        <v>95.060054054054</v>
      </c>
      <c r="J70" s="3"/>
      <c r="K70" s="3"/>
      <c r="L70" s="3" t="s">
        <v>21</v>
      </c>
      <c r="M70" s="3">
        <v>86.58</v>
      </c>
    </row>
    <row r="71" ht="20" customHeight="1" spans="1:13">
      <c r="A71" s="2">
        <v>70</v>
      </c>
      <c r="B71" s="2" t="s">
        <v>1402</v>
      </c>
      <c r="C71" s="2" t="s">
        <v>1403</v>
      </c>
      <c r="D71" s="3">
        <v>100</v>
      </c>
      <c r="E71" s="3">
        <v>86.53</v>
      </c>
      <c r="F71" s="3"/>
      <c r="G71" s="3">
        <v>3.5</v>
      </c>
      <c r="H71" s="3"/>
      <c r="I71" s="3">
        <v>94.071</v>
      </c>
      <c r="J71" s="3"/>
      <c r="K71" s="3"/>
      <c r="L71" s="3" t="s">
        <v>21</v>
      </c>
      <c r="M71" s="3">
        <v>86.53</v>
      </c>
    </row>
    <row r="72" ht="20" customHeight="1" spans="1:13">
      <c r="A72" s="2">
        <v>71</v>
      </c>
      <c r="B72" s="2" t="s">
        <v>926</v>
      </c>
      <c r="C72" s="2" t="s">
        <v>927</v>
      </c>
      <c r="D72" s="3">
        <v>94.5294</v>
      </c>
      <c r="E72" s="3">
        <v>86.47</v>
      </c>
      <c r="F72" s="3"/>
      <c r="G72" s="3">
        <v>0</v>
      </c>
      <c r="H72" s="3">
        <v>0</v>
      </c>
      <c r="I72" s="3">
        <v>88.88782</v>
      </c>
      <c r="J72" s="3"/>
      <c r="K72" s="3" t="s">
        <v>21</v>
      </c>
      <c r="L72" s="3"/>
      <c r="M72" s="3">
        <v>86.47</v>
      </c>
    </row>
    <row r="73" ht="20" customHeight="1" spans="1:13">
      <c r="A73" s="2">
        <v>72</v>
      </c>
      <c r="B73" s="2" t="s">
        <v>1688</v>
      </c>
      <c r="C73" s="2" t="s">
        <v>1689</v>
      </c>
      <c r="D73" s="3">
        <v>97</v>
      </c>
      <c r="E73" s="3">
        <v>86.47</v>
      </c>
      <c r="F73" s="3"/>
      <c r="G73" s="3">
        <v>0</v>
      </c>
      <c r="H73" s="3"/>
      <c r="I73" s="3">
        <v>89.629</v>
      </c>
      <c r="J73" s="3"/>
      <c r="K73" s="3"/>
      <c r="L73" s="3"/>
      <c r="M73" s="3">
        <v>86.47</v>
      </c>
    </row>
    <row r="74" ht="20" customHeight="1" spans="1:13">
      <c r="A74" s="2">
        <v>73</v>
      </c>
      <c r="B74" s="2">
        <v>20230805201</v>
      </c>
      <c r="C74" s="2" t="s">
        <v>407</v>
      </c>
      <c r="D74" s="3">
        <v>94.0810810810811</v>
      </c>
      <c r="E74" s="3">
        <v>86.4545454545455</v>
      </c>
      <c r="F74" s="3">
        <v>93.75</v>
      </c>
      <c r="G74" s="3">
        <v>2</v>
      </c>
      <c r="H74" s="3"/>
      <c r="I74" s="3">
        <v>91.4720515970516</v>
      </c>
      <c r="J74" s="3"/>
      <c r="K74" s="3"/>
      <c r="L74" s="3"/>
      <c r="M74" s="3">
        <v>86.45</v>
      </c>
    </row>
    <row r="75" ht="20" customHeight="1" spans="1:13">
      <c r="A75" s="2">
        <v>74</v>
      </c>
      <c r="B75" s="2" t="s">
        <v>1980</v>
      </c>
      <c r="C75" s="2" t="s">
        <v>1981</v>
      </c>
      <c r="D75" s="3">
        <v>97.1081081081081</v>
      </c>
      <c r="E75" s="3">
        <v>86.42</v>
      </c>
      <c r="F75" s="3"/>
      <c r="G75" s="3">
        <v>1</v>
      </c>
      <c r="H75" s="3"/>
      <c r="I75" s="3">
        <v>90.6264324324324</v>
      </c>
      <c r="J75" s="3"/>
      <c r="K75" s="3"/>
      <c r="L75" s="3" t="s">
        <v>21</v>
      </c>
      <c r="M75" s="3">
        <v>86.42</v>
      </c>
    </row>
    <row r="76" ht="20" customHeight="1" spans="1:13">
      <c r="A76" s="2">
        <v>75</v>
      </c>
      <c r="B76" s="2">
        <v>20230801128</v>
      </c>
      <c r="C76" s="2" t="s">
        <v>37</v>
      </c>
      <c r="D76" s="3">
        <v>94.36</v>
      </c>
      <c r="E76" s="3">
        <v>86.36</v>
      </c>
      <c r="F76" s="3">
        <v>88.25</v>
      </c>
      <c r="G76" s="3">
        <v>0</v>
      </c>
      <c r="H76" s="3">
        <v>0</v>
      </c>
      <c r="I76" s="3">
        <v>88.949</v>
      </c>
      <c r="J76" s="3"/>
      <c r="K76" s="3"/>
      <c r="L76" s="3" t="s">
        <v>21</v>
      </c>
      <c r="M76" s="3">
        <v>86.36</v>
      </c>
    </row>
    <row r="77" ht="20" customHeight="1" spans="1:13">
      <c r="A77" s="2">
        <v>76</v>
      </c>
      <c r="B77" s="2" t="s">
        <v>760</v>
      </c>
      <c r="C77" s="2" t="s">
        <v>761</v>
      </c>
      <c r="D77" s="3">
        <v>100</v>
      </c>
      <c r="E77" s="3">
        <v>86.35</v>
      </c>
      <c r="F77" s="3"/>
      <c r="G77" s="3">
        <v>3.5</v>
      </c>
      <c r="H77" s="3"/>
      <c r="I77" s="3">
        <v>93.945</v>
      </c>
      <c r="J77" s="3"/>
      <c r="K77" s="3" t="s">
        <v>21</v>
      </c>
      <c r="L77" s="3"/>
      <c r="M77" s="3">
        <v>86.35</v>
      </c>
    </row>
    <row r="78" ht="20" customHeight="1" spans="1:13">
      <c r="A78" s="2">
        <v>77</v>
      </c>
      <c r="B78" s="2">
        <v>20230802115</v>
      </c>
      <c r="C78" s="2" t="s">
        <v>132</v>
      </c>
      <c r="D78" s="3">
        <v>98.15</v>
      </c>
      <c r="E78" s="3">
        <v>86.27</v>
      </c>
      <c r="F78" s="3">
        <v>92.75</v>
      </c>
      <c r="G78" s="3">
        <v>2</v>
      </c>
      <c r="H78" s="3"/>
      <c r="I78" s="3">
        <v>92.482</v>
      </c>
      <c r="J78" s="3"/>
      <c r="K78" s="3" t="s">
        <v>21</v>
      </c>
      <c r="L78" s="3"/>
      <c r="M78" s="3">
        <v>86.27</v>
      </c>
    </row>
    <row r="79" ht="20" customHeight="1" spans="1:13">
      <c r="A79" s="2">
        <v>78</v>
      </c>
      <c r="B79" s="2">
        <v>20230802304</v>
      </c>
      <c r="C79" s="2" t="s">
        <v>323</v>
      </c>
      <c r="D79" s="3">
        <v>98.75</v>
      </c>
      <c r="E79" s="3">
        <v>86.27</v>
      </c>
      <c r="F79" s="3">
        <v>85.75</v>
      </c>
      <c r="G79" s="3">
        <v>12</v>
      </c>
      <c r="H79" s="3">
        <v>0</v>
      </c>
      <c r="I79" s="3">
        <v>101.962</v>
      </c>
      <c r="J79" s="3"/>
      <c r="K79" s="3" t="s">
        <v>21</v>
      </c>
      <c r="L79" s="3"/>
      <c r="M79" s="3">
        <v>86.27</v>
      </c>
    </row>
    <row r="80" ht="20" customHeight="1" spans="1:13">
      <c r="A80" s="2">
        <v>79</v>
      </c>
      <c r="B80" s="2" t="s">
        <v>1511</v>
      </c>
      <c r="C80" s="2" t="s">
        <v>1512</v>
      </c>
      <c r="D80" s="3">
        <v>94.625</v>
      </c>
      <c r="E80" s="3">
        <v>86.27</v>
      </c>
      <c r="F80" s="3"/>
      <c r="G80" s="3">
        <v>12</v>
      </c>
      <c r="H80" s="3"/>
      <c r="I80" s="3">
        <v>100.7765</v>
      </c>
      <c r="J80" s="3"/>
      <c r="K80" s="3" t="s">
        <v>21</v>
      </c>
      <c r="L80" s="3"/>
      <c r="M80" s="3">
        <v>86.27</v>
      </c>
    </row>
    <row r="81" ht="20" customHeight="1" spans="1:13">
      <c r="A81" s="2">
        <v>80</v>
      </c>
      <c r="B81" s="2" t="s">
        <v>1013</v>
      </c>
      <c r="C81" s="2" t="s">
        <v>1014</v>
      </c>
      <c r="D81" s="3">
        <v>100</v>
      </c>
      <c r="E81" s="3">
        <v>86.24</v>
      </c>
      <c r="F81" s="3"/>
      <c r="G81" s="3">
        <v>1</v>
      </c>
      <c r="H81" s="3"/>
      <c r="I81" s="3">
        <v>91.368</v>
      </c>
      <c r="J81" s="3"/>
      <c r="K81" s="3"/>
      <c r="L81" s="3" t="s">
        <v>21</v>
      </c>
      <c r="M81" s="3">
        <v>86.24</v>
      </c>
    </row>
    <row r="82" ht="20" customHeight="1" spans="1:13">
      <c r="A82" s="2">
        <v>81</v>
      </c>
      <c r="B82" s="2" t="s">
        <v>1682</v>
      </c>
      <c r="C82" s="2" t="s">
        <v>1683</v>
      </c>
      <c r="D82" s="3">
        <v>99</v>
      </c>
      <c r="E82" s="3">
        <v>86.24</v>
      </c>
      <c r="F82" s="3"/>
      <c r="G82" s="3">
        <v>4</v>
      </c>
      <c r="H82" s="3"/>
      <c r="I82" s="3">
        <v>90.068</v>
      </c>
      <c r="J82" s="3"/>
      <c r="K82" s="3"/>
      <c r="L82" s="3"/>
      <c r="M82" s="3">
        <v>86.24</v>
      </c>
    </row>
    <row r="83" ht="20" customHeight="1" spans="1:13">
      <c r="A83" s="2">
        <v>82</v>
      </c>
      <c r="B83" s="2" t="s">
        <v>1788</v>
      </c>
      <c r="C83" s="2" t="s">
        <v>1789</v>
      </c>
      <c r="D83" s="3">
        <v>90</v>
      </c>
      <c r="E83" s="3">
        <v>86.24</v>
      </c>
      <c r="F83" s="3"/>
      <c r="G83" s="3">
        <v>2</v>
      </c>
      <c r="H83" s="3"/>
      <c r="I83" s="3">
        <v>89.368</v>
      </c>
      <c r="J83" s="3"/>
      <c r="K83" s="3"/>
      <c r="L83" s="3" t="s">
        <v>21</v>
      </c>
      <c r="M83" s="3">
        <v>86.24</v>
      </c>
    </row>
    <row r="84" ht="20" customHeight="1" spans="1:13">
      <c r="A84" s="2">
        <v>83</v>
      </c>
      <c r="B84" s="2" t="s">
        <v>1115</v>
      </c>
      <c r="C84" s="2" t="s">
        <v>1116</v>
      </c>
      <c r="D84" s="3">
        <v>85</v>
      </c>
      <c r="E84" s="3">
        <v>86.2</v>
      </c>
      <c r="F84" s="3"/>
      <c r="G84" s="3">
        <v>36</v>
      </c>
      <c r="H84" s="3"/>
      <c r="I84" s="3">
        <v>121.84</v>
      </c>
      <c r="J84" s="3"/>
      <c r="K84" s="3"/>
      <c r="L84" s="3"/>
      <c r="M84" s="3">
        <v>86.2</v>
      </c>
    </row>
    <row r="85" ht="20" customHeight="1" spans="1:13">
      <c r="A85" s="2">
        <v>84</v>
      </c>
      <c r="B85" s="2" t="s">
        <v>1202</v>
      </c>
      <c r="C85" s="2" t="s">
        <v>1203</v>
      </c>
      <c r="D85" s="3">
        <v>91.55</v>
      </c>
      <c r="E85" s="3">
        <v>86.2</v>
      </c>
      <c r="F85" s="3"/>
      <c r="G85" s="3"/>
      <c r="H85" s="3"/>
      <c r="I85" s="3">
        <v>87.805</v>
      </c>
      <c r="J85" s="3"/>
      <c r="K85" s="3" t="s">
        <v>21</v>
      </c>
      <c r="L85" s="3"/>
      <c r="M85" s="3">
        <v>86.2</v>
      </c>
    </row>
    <row r="86" ht="20" customHeight="1" spans="1:13">
      <c r="A86" s="2">
        <v>85</v>
      </c>
      <c r="B86" s="2" t="s">
        <v>1288</v>
      </c>
      <c r="C86" s="2" t="s">
        <v>1289</v>
      </c>
      <c r="D86" s="3">
        <v>100</v>
      </c>
      <c r="E86" s="3">
        <v>86.2</v>
      </c>
      <c r="F86" s="3"/>
      <c r="G86" s="3">
        <v>3.5</v>
      </c>
      <c r="H86" s="3"/>
      <c r="I86" s="3">
        <v>93.84</v>
      </c>
      <c r="J86" s="3"/>
      <c r="K86" s="3"/>
      <c r="L86" s="3" t="s">
        <v>21</v>
      </c>
      <c r="M86" s="3">
        <v>86.2</v>
      </c>
    </row>
    <row r="87" ht="20" customHeight="1" spans="1:13">
      <c r="A87" s="2">
        <v>86</v>
      </c>
      <c r="B87" s="2" t="s">
        <v>1880</v>
      </c>
      <c r="C87" s="2" t="s">
        <v>1881</v>
      </c>
      <c r="D87" s="3">
        <v>90.6808510638298</v>
      </c>
      <c r="E87" s="3">
        <v>86.0714285714286</v>
      </c>
      <c r="F87" s="3">
        <v>87</v>
      </c>
      <c r="G87" s="3"/>
      <c r="H87" s="3"/>
      <c r="I87" s="3">
        <v>87.5471124620061</v>
      </c>
      <c r="J87" s="3"/>
      <c r="K87" s="3"/>
      <c r="L87" s="3"/>
      <c r="M87" s="3">
        <v>86.1875</v>
      </c>
    </row>
    <row r="88" ht="20" customHeight="1" spans="1:13">
      <c r="A88" s="2">
        <v>87</v>
      </c>
      <c r="B88" s="2">
        <v>20230817238</v>
      </c>
      <c r="C88" s="2" t="s">
        <v>707</v>
      </c>
      <c r="D88" s="3">
        <v>95.6363636363636</v>
      </c>
      <c r="E88" s="3">
        <v>86.08</v>
      </c>
      <c r="F88" s="3">
        <v>85.75</v>
      </c>
      <c r="G88" s="3"/>
      <c r="H88" s="3"/>
      <c r="I88" s="3">
        <v>88.9139090909091</v>
      </c>
      <c r="J88" s="3"/>
      <c r="K88" s="3"/>
      <c r="L88" s="3"/>
      <c r="M88" s="3">
        <v>86.08</v>
      </c>
    </row>
    <row r="89" ht="20" customHeight="1" spans="1:13">
      <c r="A89" s="2">
        <v>88</v>
      </c>
      <c r="B89" s="2" t="s">
        <v>1671</v>
      </c>
      <c r="C89" s="2" t="s">
        <v>1672</v>
      </c>
      <c r="D89" s="3">
        <v>98</v>
      </c>
      <c r="E89" s="3">
        <v>86.06</v>
      </c>
      <c r="F89" s="3"/>
      <c r="G89" s="3">
        <v>0</v>
      </c>
      <c r="H89" s="3"/>
      <c r="I89" s="3">
        <v>91.142</v>
      </c>
      <c r="J89" s="3"/>
      <c r="K89" s="3" t="s">
        <v>21</v>
      </c>
      <c r="L89" s="3"/>
      <c r="M89" s="3">
        <v>86.06</v>
      </c>
    </row>
    <row r="90" ht="20" customHeight="1" spans="1:13">
      <c r="A90" s="2">
        <v>89</v>
      </c>
      <c r="B90" s="2">
        <v>20230817236</v>
      </c>
      <c r="C90" s="2" t="s">
        <v>703</v>
      </c>
      <c r="D90" s="3">
        <v>94.4242424242424</v>
      </c>
      <c r="E90" s="3">
        <v>86</v>
      </c>
      <c r="F90" s="3">
        <v>83.5</v>
      </c>
      <c r="G90" s="3">
        <v>1.5</v>
      </c>
      <c r="H90" s="3"/>
      <c r="I90" s="3">
        <v>89.7772727272727</v>
      </c>
      <c r="J90" s="3"/>
      <c r="K90" s="3"/>
      <c r="L90" s="3"/>
      <c r="M90" s="3">
        <v>86</v>
      </c>
    </row>
    <row r="91" ht="20" customHeight="1" spans="1:13">
      <c r="A91" s="2">
        <v>90</v>
      </c>
      <c r="B91" s="2" t="s">
        <v>1882</v>
      </c>
      <c r="C91" s="2" t="s">
        <v>1883</v>
      </c>
      <c r="D91" s="3">
        <v>90.6170212765958</v>
      </c>
      <c r="E91" s="3">
        <v>85.3571428571429</v>
      </c>
      <c r="F91" s="3">
        <v>89.5</v>
      </c>
      <c r="G91" s="3"/>
      <c r="H91" s="3"/>
      <c r="I91" s="3">
        <v>87.3493920972645</v>
      </c>
      <c r="J91" s="3"/>
      <c r="K91" s="3"/>
      <c r="L91" s="3"/>
      <c r="M91" s="3">
        <v>85.875</v>
      </c>
    </row>
    <row r="92" ht="20" customHeight="1" spans="1:13">
      <c r="A92" s="2">
        <v>91</v>
      </c>
      <c r="B92" s="2">
        <v>20230805207</v>
      </c>
      <c r="C92" s="2" t="s">
        <v>417</v>
      </c>
      <c r="D92" s="3">
        <v>90.4324324324324</v>
      </c>
      <c r="E92" s="3">
        <v>85.8181818181818</v>
      </c>
      <c r="F92" s="3">
        <v>88.25</v>
      </c>
      <c r="G92" s="3">
        <v>1</v>
      </c>
      <c r="H92" s="3"/>
      <c r="I92" s="3">
        <v>88.4456388206388</v>
      </c>
      <c r="J92" s="3"/>
      <c r="K92" s="3" t="s">
        <v>21</v>
      </c>
      <c r="L92" s="3"/>
      <c r="M92" s="3">
        <v>85.82</v>
      </c>
    </row>
    <row r="93" ht="20" customHeight="1" spans="1:13">
      <c r="A93" s="2">
        <v>92</v>
      </c>
      <c r="B93" s="2">
        <v>20230805337</v>
      </c>
      <c r="C93" s="2" t="s">
        <v>495</v>
      </c>
      <c r="D93" s="3">
        <v>97.89</v>
      </c>
      <c r="E93" s="3">
        <v>85.82</v>
      </c>
      <c r="F93" s="3">
        <v>87.25</v>
      </c>
      <c r="G93" s="3"/>
      <c r="H93" s="3"/>
      <c r="I93" s="3">
        <v>89.584</v>
      </c>
      <c r="J93" s="3"/>
      <c r="K93" s="3" t="s">
        <v>21</v>
      </c>
      <c r="L93" s="3"/>
      <c r="M93" s="3">
        <v>85.82</v>
      </c>
    </row>
    <row r="94" ht="20" customHeight="1" spans="1:13">
      <c r="A94" s="2">
        <v>93</v>
      </c>
      <c r="B94" s="2" t="s">
        <v>1411</v>
      </c>
      <c r="C94" s="2" t="s">
        <v>1412</v>
      </c>
      <c r="D94" s="3">
        <v>96</v>
      </c>
      <c r="E94" s="3">
        <v>85.8</v>
      </c>
      <c r="F94" s="3"/>
      <c r="G94" s="3"/>
      <c r="H94" s="3"/>
      <c r="I94" s="3">
        <v>88.86</v>
      </c>
      <c r="J94" s="3"/>
      <c r="K94" s="3" t="s">
        <v>21</v>
      </c>
      <c r="L94" s="3"/>
      <c r="M94" s="3">
        <v>85.8</v>
      </c>
    </row>
    <row r="95" ht="20" customHeight="1" spans="1:13">
      <c r="A95" s="2">
        <v>94</v>
      </c>
      <c r="B95" s="2" t="s">
        <v>1692</v>
      </c>
      <c r="C95" s="2" t="s">
        <v>1693</v>
      </c>
      <c r="D95" s="3">
        <v>98</v>
      </c>
      <c r="E95" s="3">
        <v>85.76</v>
      </c>
      <c r="F95" s="3"/>
      <c r="G95" s="3">
        <v>1.5</v>
      </c>
      <c r="H95" s="3"/>
      <c r="I95" s="3">
        <v>89.432</v>
      </c>
      <c r="J95" s="3"/>
      <c r="K95" s="3"/>
      <c r="L95" s="3"/>
      <c r="M95" s="3">
        <v>85.76</v>
      </c>
    </row>
    <row r="96" ht="20" customHeight="1" spans="1:13">
      <c r="A96" s="2">
        <v>95</v>
      </c>
      <c r="B96" s="2">
        <v>20230817230</v>
      </c>
      <c r="C96" s="2" t="s">
        <v>701</v>
      </c>
      <c r="D96" s="3">
        <v>95.7272727272727</v>
      </c>
      <c r="E96" s="3">
        <v>85.75</v>
      </c>
      <c r="F96" s="3">
        <v>87.75</v>
      </c>
      <c r="G96" s="3">
        <v>1.5</v>
      </c>
      <c r="H96" s="3"/>
      <c r="I96" s="3">
        <v>90.4431818181818</v>
      </c>
      <c r="J96" s="3"/>
      <c r="K96" s="3"/>
      <c r="L96" s="3"/>
      <c r="M96" s="3">
        <v>85.75</v>
      </c>
    </row>
    <row r="97" ht="20" customHeight="1" spans="1:13">
      <c r="A97" s="2">
        <v>96</v>
      </c>
      <c r="B97" s="2" t="s">
        <v>1303</v>
      </c>
      <c r="C97" s="2" t="s">
        <v>1304</v>
      </c>
      <c r="D97" s="3">
        <v>100</v>
      </c>
      <c r="E97" s="3">
        <v>85.73</v>
      </c>
      <c r="F97" s="3"/>
      <c r="G97" s="3"/>
      <c r="H97" s="3"/>
      <c r="I97" s="3">
        <v>90.011</v>
      </c>
      <c r="J97" s="3"/>
      <c r="K97" s="3" t="s">
        <v>21</v>
      </c>
      <c r="L97" s="3"/>
      <c r="M97" s="3">
        <v>85.73</v>
      </c>
    </row>
    <row r="98" ht="20" customHeight="1" spans="1:13">
      <c r="A98" s="2">
        <v>97</v>
      </c>
      <c r="B98" s="2" t="s">
        <v>1515</v>
      </c>
      <c r="C98" s="2" t="s">
        <v>1516</v>
      </c>
      <c r="D98" s="3">
        <v>96.75</v>
      </c>
      <c r="E98" s="3">
        <v>85.73</v>
      </c>
      <c r="F98" s="3"/>
      <c r="G98" s="3">
        <v>8</v>
      </c>
      <c r="H98" s="3"/>
      <c r="I98" s="3">
        <v>97.036</v>
      </c>
      <c r="J98" s="3"/>
      <c r="K98" s="3"/>
      <c r="L98" s="3" t="s">
        <v>21</v>
      </c>
      <c r="M98" s="3">
        <v>85.73</v>
      </c>
    </row>
    <row r="99" ht="20" customHeight="1" spans="1:13">
      <c r="A99" s="2">
        <v>98</v>
      </c>
      <c r="B99" s="2" t="s">
        <v>1884</v>
      </c>
      <c r="C99" s="2" t="s">
        <v>1885</v>
      </c>
      <c r="D99" s="3">
        <v>89.8723404255319</v>
      </c>
      <c r="E99" s="3">
        <v>85.5714285714286</v>
      </c>
      <c r="F99" s="3">
        <v>86.5</v>
      </c>
      <c r="G99" s="3"/>
      <c r="H99" s="3"/>
      <c r="I99" s="3">
        <v>86.9545592705167</v>
      </c>
      <c r="J99" s="3"/>
      <c r="K99" s="3"/>
      <c r="L99" s="3"/>
      <c r="M99" s="3">
        <v>85.6875</v>
      </c>
    </row>
    <row r="100" ht="20" customHeight="1" spans="1:13">
      <c r="A100" s="2">
        <v>99</v>
      </c>
      <c r="B100" s="2" t="s">
        <v>1134</v>
      </c>
      <c r="C100" s="2" t="s">
        <v>1135</v>
      </c>
      <c r="D100" s="3">
        <v>90.5</v>
      </c>
      <c r="E100" s="3">
        <v>85.67</v>
      </c>
      <c r="F100" s="3"/>
      <c r="G100" s="3"/>
      <c r="H100" s="3"/>
      <c r="I100" s="3">
        <v>87.119</v>
      </c>
      <c r="J100" s="3"/>
      <c r="K100" s="3"/>
      <c r="L100" s="3"/>
      <c r="M100" s="3">
        <v>85.67</v>
      </c>
    </row>
    <row r="101" ht="20" customHeight="1" spans="1:13">
      <c r="A101" s="2">
        <v>100</v>
      </c>
      <c r="B101" s="2" t="s">
        <v>757</v>
      </c>
      <c r="C101" s="2" t="s">
        <v>758</v>
      </c>
      <c r="D101" s="3">
        <v>100</v>
      </c>
      <c r="E101" s="3">
        <v>85.65</v>
      </c>
      <c r="F101" s="3"/>
      <c r="G101" s="3">
        <v>5.5</v>
      </c>
      <c r="H101" s="3"/>
      <c r="I101" s="3">
        <v>95.455</v>
      </c>
      <c r="J101" s="3"/>
      <c r="K101" s="3" t="s">
        <v>21</v>
      </c>
      <c r="L101" s="3"/>
      <c r="M101" s="3">
        <v>85.65</v>
      </c>
    </row>
    <row r="102" ht="20" customHeight="1" spans="1:13">
      <c r="A102" s="2">
        <v>101</v>
      </c>
      <c r="B102" s="2" t="s">
        <v>1117</v>
      </c>
      <c r="C102" s="2" t="s">
        <v>1118</v>
      </c>
      <c r="D102" s="3">
        <v>100</v>
      </c>
      <c r="E102" s="3">
        <v>85.6</v>
      </c>
      <c r="F102" s="3"/>
      <c r="G102" s="3">
        <v>5</v>
      </c>
      <c r="H102" s="3"/>
      <c r="I102" s="3">
        <v>94.92</v>
      </c>
      <c r="J102" s="3"/>
      <c r="K102" s="3" t="s">
        <v>21</v>
      </c>
      <c r="L102" s="3"/>
      <c r="M102" s="3">
        <v>85.6</v>
      </c>
    </row>
    <row r="103" ht="20" customHeight="1" spans="1:13">
      <c r="A103" s="2">
        <v>102</v>
      </c>
      <c r="B103" s="2" t="s">
        <v>1598</v>
      </c>
      <c r="C103" s="2" t="s">
        <v>1599</v>
      </c>
      <c r="D103" s="3">
        <v>95.5</v>
      </c>
      <c r="E103" s="3">
        <v>85.6</v>
      </c>
      <c r="F103" s="3"/>
      <c r="G103" s="3"/>
      <c r="H103" s="3"/>
      <c r="I103" s="3">
        <v>88.57</v>
      </c>
      <c r="J103" s="3"/>
      <c r="K103" s="3"/>
      <c r="L103" s="3" t="s">
        <v>21</v>
      </c>
      <c r="M103" s="3">
        <v>85.6</v>
      </c>
    </row>
    <row r="104" ht="20" customHeight="1" spans="1:13">
      <c r="A104" s="2">
        <v>103</v>
      </c>
      <c r="B104" s="2" t="s">
        <v>1747</v>
      </c>
      <c r="C104" s="2" t="s">
        <v>1748</v>
      </c>
      <c r="D104" s="3">
        <v>100</v>
      </c>
      <c r="E104" s="3">
        <v>85.59</v>
      </c>
      <c r="F104" s="3"/>
      <c r="G104" s="3"/>
      <c r="H104" s="3"/>
      <c r="I104" s="3">
        <v>89.913</v>
      </c>
      <c r="J104" s="3"/>
      <c r="K104" s="3" t="s">
        <v>21</v>
      </c>
      <c r="L104" s="3"/>
      <c r="M104" s="3">
        <v>85.59</v>
      </c>
    </row>
    <row r="105" ht="20" customHeight="1" spans="1:13">
      <c r="A105" s="2">
        <v>104</v>
      </c>
      <c r="B105" s="2">
        <v>20230817234</v>
      </c>
      <c r="C105" s="2" t="s">
        <v>699</v>
      </c>
      <c r="D105" s="3">
        <v>95.8787878787879</v>
      </c>
      <c r="E105" s="3">
        <v>85.58</v>
      </c>
      <c r="F105" s="3">
        <v>86</v>
      </c>
      <c r="G105" s="3">
        <v>10</v>
      </c>
      <c r="H105" s="3">
        <v>8</v>
      </c>
      <c r="I105" s="3">
        <v>90.7116363636364</v>
      </c>
      <c r="J105" s="3"/>
      <c r="K105" s="3"/>
      <c r="L105" s="3"/>
      <c r="M105" s="3">
        <v>85.58</v>
      </c>
    </row>
    <row r="106" ht="20" customHeight="1" spans="1:13">
      <c r="A106" s="2">
        <v>105</v>
      </c>
      <c r="B106" s="2" t="s">
        <v>1872</v>
      </c>
      <c r="C106" s="2" t="s">
        <v>1873</v>
      </c>
      <c r="D106" s="3">
        <v>91.7021276595745</v>
      </c>
      <c r="E106" s="3">
        <v>85.5714285714286</v>
      </c>
      <c r="F106" s="3">
        <v>85.5</v>
      </c>
      <c r="G106" s="3">
        <v>1</v>
      </c>
      <c r="H106" s="3"/>
      <c r="I106" s="3">
        <v>88.4034954407295</v>
      </c>
      <c r="J106" s="3"/>
      <c r="K106" s="3"/>
      <c r="L106" s="3"/>
      <c r="M106" s="3">
        <v>85.5625</v>
      </c>
    </row>
    <row r="107" ht="20" customHeight="1" spans="1:13">
      <c r="A107" s="2">
        <v>106</v>
      </c>
      <c r="B107" s="2" t="s">
        <v>1204</v>
      </c>
      <c r="C107" s="2" t="s">
        <v>1205</v>
      </c>
      <c r="D107" s="3">
        <v>88.92</v>
      </c>
      <c r="E107" s="3">
        <v>85.53</v>
      </c>
      <c r="F107" s="3"/>
      <c r="G107" s="3">
        <v>1</v>
      </c>
      <c r="H107" s="3"/>
      <c r="I107" s="3">
        <v>87.547</v>
      </c>
      <c r="J107" s="3"/>
      <c r="K107" s="3" t="s">
        <v>21</v>
      </c>
      <c r="L107" s="3"/>
      <c r="M107" s="3">
        <v>85.53</v>
      </c>
    </row>
    <row r="108" ht="20" customHeight="1" spans="1:13">
      <c r="A108" s="2">
        <v>107</v>
      </c>
      <c r="B108" s="2" t="s">
        <v>857</v>
      </c>
      <c r="C108" s="2" t="s">
        <v>858</v>
      </c>
      <c r="D108" s="3">
        <v>100</v>
      </c>
      <c r="E108" s="3">
        <v>85.47</v>
      </c>
      <c r="F108" s="3"/>
      <c r="G108" s="3"/>
      <c r="H108" s="3"/>
      <c r="I108" s="3">
        <v>89.829</v>
      </c>
      <c r="J108" s="3"/>
      <c r="K108" s="3" t="s">
        <v>21</v>
      </c>
      <c r="L108" s="3"/>
      <c r="M108" s="3">
        <v>85.47</v>
      </c>
    </row>
    <row r="109" ht="20" customHeight="1" spans="1:13">
      <c r="A109" s="2">
        <v>108</v>
      </c>
      <c r="B109" s="2" t="s">
        <v>932</v>
      </c>
      <c r="C109" s="2" t="s">
        <v>933</v>
      </c>
      <c r="D109" s="3">
        <v>94.9706</v>
      </c>
      <c r="E109" s="3">
        <v>85.47</v>
      </c>
      <c r="F109" s="3"/>
      <c r="G109" s="3">
        <v>0</v>
      </c>
      <c r="H109" s="3">
        <v>0</v>
      </c>
      <c r="I109" s="3">
        <v>88.32018</v>
      </c>
      <c r="J109" s="3"/>
      <c r="K109" s="3" t="s">
        <v>21</v>
      </c>
      <c r="L109" s="3"/>
      <c r="M109" s="3">
        <v>85.47</v>
      </c>
    </row>
    <row r="110" ht="20" customHeight="1" spans="1:13">
      <c r="A110" s="2">
        <v>109</v>
      </c>
      <c r="B110" s="2">
        <v>20230802209</v>
      </c>
      <c r="C110" s="2" t="s">
        <v>234</v>
      </c>
      <c r="D110" s="3">
        <v>96.6</v>
      </c>
      <c r="E110" s="3">
        <v>85.45</v>
      </c>
      <c r="F110" s="3">
        <v>88</v>
      </c>
      <c r="G110" s="3">
        <v>8</v>
      </c>
      <c r="H110" s="3"/>
      <c r="I110" s="3">
        <v>97.05</v>
      </c>
      <c r="J110" s="3"/>
      <c r="K110" s="3" t="s">
        <v>21</v>
      </c>
      <c r="L110" s="3"/>
      <c r="M110" s="3">
        <v>85.45</v>
      </c>
    </row>
    <row r="111" ht="20" customHeight="1" spans="1:13">
      <c r="A111" s="2">
        <v>110</v>
      </c>
      <c r="B111" s="2" t="s">
        <v>1022</v>
      </c>
      <c r="C111" s="2" t="s">
        <v>1023</v>
      </c>
      <c r="D111" s="3">
        <v>100</v>
      </c>
      <c r="E111" s="3">
        <v>85.41</v>
      </c>
      <c r="F111" s="3"/>
      <c r="G111" s="3"/>
      <c r="H111" s="3"/>
      <c r="I111" s="3">
        <v>89.787</v>
      </c>
      <c r="J111" s="3"/>
      <c r="K111" s="3" t="s">
        <v>21</v>
      </c>
      <c r="L111" s="3"/>
      <c r="M111" s="3">
        <v>85.41</v>
      </c>
    </row>
    <row r="112" ht="20" customHeight="1" spans="1:13">
      <c r="A112" s="2">
        <v>111</v>
      </c>
      <c r="B112" s="2" t="s">
        <v>1291</v>
      </c>
      <c r="C112" s="2" t="s">
        <v>1292</v>
      </c>
      <c r="D112" s="3">
        <v>100</v>
      </c>
      <c r="E112" s="3">
        <v>85.4</v>
      </c>
      <c r="F112" s="3"/>
      <c r="G112" s="3">
        <v>4</v>
      </c>
      <c r="H112" s="3"/>
      <c r="I112" s="3">
        <v>93.78</v>
      </c>
      <c r="J112" s="3"/>
      <c r="K112" s="3"/>
      <c r="L112" s="3" t="s">
        <v>21</v>
      </c>
      <c r="M112" s="3">
        <v>85.4</v>
      </c>
    </row>
    <row r="113" ht="20" customHeight="1" spans="1:13">
      <c r="A113" s="2">
        <v>112</v>
      </c>
      <c r="B113" s="2" t="s">
        <v>1690</v>
      </c>
      <c r="C113" s="2" t="s">
        <v>1691</v>
      </c>
      <c r="D113" s="3">
        <v>99</v>
      </c>
      <c r="E113" s="3">
        <v>85.35</v>
      </c>
      <c r="F113" s="3"/>
      <c r="G113" s="3">
        <v>3</v>
      </c>
      <c r="H113" s="3"/>
      <c r="I113" s="3">
        <v>89.445</v>
      </c>
      <c r="J113" s="3"/>
      <c r="K113" s="3"/>
      <c r="L113" s="3"/>
      <c r="M113" s="3">
        <v>85.35</v>
      </c>
    </row>
    <row r="114" ht="20" customHeight="1" spans="1:13">
      <c r="A114" s="2">
        <v>113</v>
      </c>
      <c r="B114" s="2" t="s">
        <v>1876</v>
      </c>
      <c r="C114" s="2" t="s">
        <v>1877</v>
      </c>
      <c r="D114" s="3">
        <v>91.0851063829787</v>
      </c>
      <c r="E114" s="3">
        <v>84</v>
      </c>
      <c r="F114" s="3">
        <v>94</v>
      </c>
      <c r="G114" s="3">
        <v>1</v>
      </c>
      <c r="H114" s="3">
        <v>0.5</v>
      </c>
      <c r="I114" s="3">
        <v>87.6255319148936</v>
      </c>
      <c r="J114" s="3"/>
      <c r="K114" s="3" t="s">
        <v>21</v>
      </c>
      <c r="L114" s="3"/>
      <c r="M114" s="3">
        <v>85.25</v>
      </c>
    </row>
    <row r="115" ht="20" customHeight="1" spans="1:13">
      <c r="A115" s="2">
        <v>114</v>
      </c>
      <c r="B115" s="2">
        <v>20230802311</v>
      </c>
      <c r="C115" s="2" t="s">
        <v>327</v>
      </c>
      <c r="D115" s="3">
        <v>98.72</v>
      </c>
      <c r="E115" s="3">
        <v>85.18</v>
      </c>
      <c r="F115" s="3">
        <v>88.25</v>
      </c>
      <c r="G115" s="3">
        <v>7.5</v>
      </c>
      <c r="H115" s="3">
        <v>0</v>
      </c>
      <c r="I115" s="3">
        <v>97.049</v>
      </c>
      <c r="J115" s="3"/>
      <c r="K115" s="3" t="s">
        <v>21</v>
      </c>
      <c r="L115" s="3"/>
      <c r="M115" s="3">
        <v>85.18</v>
      </c>
    </row>
    <row r="116" ht="20" customHeight="1" spans="1:13">
      <c r="A116" s="2">
        <v>115</v>
      </c>
      <c r="B116" s="2" t="s">
        <v>1210</v>
      </c>
      <c r="C116" s="2" t="s">
        <v>1211</v>
      </c>
      <c r="D116" s="3">
        <v>87.24</v>
      </c>
      <c r="E116" s="3">
        <v>85.13</v>
      </c>
      <c r="F116" s="3"/>
      <c r="G116" s="3">
        <v>1</v>
      </c>
      <c r="H116" s="3"/>
      <c r="I116" s="3">
        <v>86.763</v>
      </c>
      <c r="J116" s="3"/>
      <c r="K116" s="3" t="s">
        <v>21</v>
      </c>
      <c r="L116" s="3"/>
      <c r="M116" s="3">
        <v>85.13</v>
      </c>
    </row>
    <row r="117" ht="20" customHeight="1" spans="1:13">
      <c r="A117" s="2">
        <v>116</v>
      </c>
      <c r="B117" s="2" t="s">
        <v>766</v>
      </c>
      <c r="C117" s="2" t="s">
        <v>767</v>
      </c>
      <c r="D117" s="3">
        <v>100</v>
      </c>
      <c r="E117" s="3">
        <v>85.12</v>
      </c>
      <c r="F117" s="3"/>
      <c r="G117" s="3">
        <v>1.5</v>
      </c>
      <c r="H117" s="3"/>
      <c r="I117" s="3">
        <v>91.084</v>
      </c>
      <c r="J117" s="3"/>
      <c r="K117" s="3" t="s">
        <v>21</v>
      </c>
      <c r="L117" s="3"/>
      <c r="M117" s="3">
        <v>85.12</v>
      </c>
    </row>
    <row r="118" ht="20" customHeight="1" spans="1:13">
      <c r="A118" s="2">
        <v>117</v>
      </c>
      <c r="B118" s="2" t="s">
        <v>1673</v>
      </c>
      <c r="C118" s="2" t="s">
        <v>1674</v>
      </c>
      <c r="D118" s="3">
        <v>99</v>
      </c>
      <c r="E118" s="3">
        <v>85.06</v>
      </c>
      <c r="F118" s="3"/>
      <c r="G118" s="3">
        <v>1.5</v>
      </c>
      <c r="H118" s="3"/>
      <c r="I118" s="3">
        <v>90.742</v>
      </c>
      <c r="J118" s="3"/>
      <c r="K118" s="3" t="s">
        <v>21</v>
      </c>
      <c r="L118" s="3"/>
      <c r="M118" s="3">
        <v>85.06</v>
      </c>
    </row>
    <row r="119" ht="20" customHeight="1" spans="1:13">
      <c r="A119" s="2">
        <v>118</v>
      </c>
      <c r="B119" s="2" t="s">
        <v>1306</v>
      </c>
      <c r="C119" s="2" t="s">
        <v>1307</v>
      </c>
      <c r="D119" s="3">
        <v>100</v>
      </c>
      <c r="E119" s="3">
        <v>85</v>
      </c>
      <c r="F119" s="3"/>
      <c r="G119" s="3"/>
      <c r="H119" s="3"/>
      <c r="I119" s="3">
        <v>89.5</v>
      </c>
      <c r="J119" s="3"/>
      <c r="K119" s="3" t="s">
        <v>21</v>
      </c>
      <c r="L119" s="3"/>
      <c r="M119" s="3">
        <v>85</v>
      </c>
    </row>
    <row r="120" ht="20" customHeight="1" spans="1:13">
      <c r="A120" s="2">
        <v>119</v>
      </c>
      <c r="B120" s="2" t="s">
        <v>1878</v>
      </c>
      <c r="C120" s="2" t="s">
        <v>1879</v>
      </c>
      <c r="D120" s="3">
        <v>90.1489361702128</v>
      </c>
      <c r="E120" s="3">
        <v>84.4285714285714</v>
      </c>
      <c r="F120" s="3">
        <v>88.5</v>
      </c>
      <c r="G120" s="3">
        <v>1</v>
      </c>
      <c r="H120" s="3"/>
      <c r="I120" s="3">
        <v>87.5518237082067</v>
      </c>
      <c r="J120" s="3"/>
      <c r="K120" s="3"/>
      <c r="L120" s="3" t="s">
        <v>21</v>
      </c>
      <c r="M120" s="3">
        <v>84.9375</v>
      </c>
    </row>
    <row r="121" ht="20" customHeight="1" spans="1:13">
      <c r="A121" s="2">
        <v>120</v>
      </c>
      <c r="B121" s="2">
        <v>20230802121</v>
      </c>
      <c r="C121" s="2" t="s">
        <v>129</v>
      </c>
      <c r="D121" s="3">
        <v>97.41</v>
      </c>
      <c r="E121" s="3">
        <v>84.91</v>
      </c>
      <c r="F121" s="3">
        <v>84.5</v>
      </c>
      <c r="G121" s="3">
        <v>8</v>
      </c>
      <c r="H121" s="3"/>
      <c r="I121" s="3">
        <v>96.619</v>
      </c>
      <c r="J121" s="3"/>
      <c r="K121" s="3" t="s">
        <v>21</v>
      </c>
      <c r="L121" s="3"/>
      <c r="M121" s="3">
        <v>84.91</v>
      </c>
    </row>
    <row r="122" ht="20" customHeight="1" spans="1:13">
      <c r="A122" s="2">
        <v>121</v>
      </c>
      <c r="B122" s="2">
        <v>20230805202</v>
      </c>
      <c r="C122" s="2" t="s">
        <v>409</v>
      </c>
      <c r="D122" s="3">
        <v>94.0810810810811</v>
      </c>
      <c r="E122" s="3">
        <v>84.9090909090909</v>
      </c>
      <c r="F122" s="3">
        <v>82.5</v>
      </c>
      <c r="G122" s="3">
        <v>4</v>
      </c>
      <c r="H122" s="3"/>
      <c r="I122" s="3">
        <v>91.4197788697789</v>
      </c>
      <c r="J122" s="3"/>
      <c r="K122" s="3"/>
      <c r="L122" s="3" t="s">
        <v>21</v>
      </c>
      <c r="M122" s="3">
        <v>84.91</v>
      </c>
    </row>
    <row r="123" ht="20" customHeight="1" spans="1:13">
      <c r="A123" s="2">
        <v>122</v>
      </c>
      <c r="B123" s="2">
        <v>20230805320</v>
      </c>
      <c r="C123" s="2" t="s">
        <v>506</v>
      </c>
      <c r="D123" s="3">
        <v>97.74</v>
      </c>
      <c r="E123" s="3">
        <v>84.91</v>
      </c>
      <c r="F123" s="3">
        <v>88</v>
      </c>
      <c r="G123" s="3"/>
      <c r="H123" s="3">
        <v>2</v>
      </c>
      <c r="I123" s="3">
        <v>87.068</v>
      </c>
      <c r="J123" s="3"/>
      <c r="K123" s="3"/>
      <c r="L123" s="3"/>
      <c r="M123" s="3">
        <v>84.91</v>
      </c>
    </row>
    <row r="124" ht="20" customHeight="1" spans="1:13">
      <c r="A124" s="2">
        <v>123</v>
      </c>
      <c r="B124" s="2">
        <v>20230805309</v>
      </c>
      <c r="C124" s="2" t="s">
        <v>501</v>
      </c>
      <c r="D124" s="3">
        <v>97.97</v>
      </c>
      <c r="E124" s="3">
        <v>84.82</v>
      </c>
      <c r="F124" s="3">
        <v>81.75</v>
      </c>
      <c r="G124" s="3">
        <v>3</v>
      </c>
      <c r="H124" s="3"/>
      <c r="I124" s="3">
        <v>91.458</v>
      </c>
      <c r="J124" s="3"/>
      <c r="K124" s="3"/>
      <c r="L124" s="3" t="s">
        <v>21</v>
      </c>
      <c r="M124" s="3">
        <v>84.82</v>
      </c>
    </row>
    <row r="125" ht="20" customHeight="1" spans="1:13">
      <c r="A125" s="2">
        <v>124</v>
      </c>
      <c r="B125" s="2" t="s">
        <v>1888</v>
      </c>
      <c r="C125" s="2" t="s">
        <v>1889</v>
      </c>
      <c r="D125" s="3">
        <v>90.5957446808511</v>
      </c>
      <c r="E125" s="3">
        <v>84.5714285714286</v>
      </c>
      <c r="F125" s="3">
        <v>86.5</v>
      </c>
      <c r="G125" s="3"/>
      <c r="H125" s="3"/>
      <c r="I125" s="3">
        <v>86.5715805471125</v>
      </c>
      <c r="J125" s="3"/>
      <c r="K125" s="3"/>
      <c r="L125" s="3"/>
      <c r="M125" s="3">
        <v>84.8125</v>
      </c>
    </row>
    <row r="126" ht="20" customHeight="1" spans="1:13">
      <c r="A126" s="2">
        <v>125</v>
      </c>
      <c r="B126" s="2" t="s">
        <v>1800</v>
      </c>
      <c r="C126" s="2" t="s">
        <v>1801</v>
      </c>
      <c r="D126" s="3">
        <v>83</v>
      </c>
      <c r="E126" s="3">
        <v>84.81</v>
      </c>
      <c r="F126" s="3"/>
      <c r="G126" s="3"/>
      <c r="H126" s="3"/>
      <c r="I126" s="3">
        <v>84.267</v>
      </c>
      <c r="J126" s="3"/>
      <c r="K126" s="3"/>
      <c r="L126" s="3"/>
      <c r="M126" s="3">
        <v>84.81</v>
      </c>
    </row>
    <row r="127" ht="20" customHeight="1" spans="1:13">
      <c r="A127" s="2">
        <v>126</v>
      </c>
      <c r="B127" s="2">
        <v>20230805101</v>
      </c>
      <c r="C127" s="2" t="s">
        <v>365</v>
      </c>
      <c r="D127" s="3">
        <v>95.3846153846154</v>
      </c>
      <c r="E127" s="3">
        <v>84.73</v>
      </c>
      <c r="F127" s="3">
        <v>83.25</v>
      </c>
      <c r="G127" s="3">
        <v>3</v>
      </c>
      <c r="H127" s="3"/>
      <c r="I127" s="3">
        <v>90.7783846153846</v>
      </c>
      <c r="J127" s="3"/>
      <c r="K127" s="3" t="s">
        <v>21</v>
      </c>
      <c r="L127" s="3"/>
      <c r="M127" s="3">
        <v>84.73</v>
      </c>
    </row>
    <row r="128" ht="20" customHeight="1" spans="1:13">
      <c r="A128" s="2">
        <v>127</v>
      </c>
      <c r="B128" s="2">
        <v>20230805121</v>
      </c>
      <c r="C128" s="2" t="s">
        <v>368</v>
      </c>
      <c r="D128" s="3">
        <v>95.5384615384615</v>
      </c>
      <c r="E128" s="3">
        <v>84.73</v>
      </c>
      <c r="F128" s="3">
        <v>85</v>
      </c>
      <c r="G128" s="3"/>
      <c r="H128" s="3"/>
      <c r="I128" s="3">
        <v>87.9995384615384</v>
      </c>
      <c r="J128" s="3"/>
      <c r="K128" s="3"/>
      <c r="L128" s="3"/>
      <c r="M128" s="3">
        <v>84.73</v>
      </c>
    </row>
    <row r="129" ht="20" customHeight="1" spans="1:13">
      <c r="A129" s="2">
        <v>128</v>
      </c>
      <c r="B129" s="2" t="s">
        <v>1604</v>
      </c>
      <c r="C129" s="2" t="s">
        <v>1605</v>
      </c>
      <c r="D129" s="3">
        <v>92.3</v>
      </c>
      <c r="E129" s="3">
        <v>84.73</v>
      </c>
      <c r="F129" s="3"/>
      <c r="G129" s="3"/>
      <c r="H129" s="3"/>
      <c r="I129" s="3">
        <v>87.001</v>
      </c>
      <c r="J129" s="3"/>
      <c r="K129" s="3" t="s">
        <v>21</v>
      </c>
      <c r="L129" s="3"/>
      <c r="M129" s="3">
        <v>84.73</v>
      </c>
    </row>
    <row r="130" ht="20" customHeight="1" spans="1:13">
      <c r="A130" s="2">
        <v>129</v>
      </c>
      <c r="B130" s="2" t="s">
        <v>1886</v>
      </c>
      <c r="C130" s="2" t="s">
        <v>1887</v>
      </c>
      <c r="D130" s="3">
        <v>91.9148936170213</v>
      </c>
      <c r="E130" s="3">
        <v>84.6428571428571</v>
      </c>
      <c r="F130" s="3">
        <v>85</v>
      </c>
      <c r="G130" s="3"/>
      <c r="H130" s="3"/>
      <c r="I130" s="3">
        <v>86.8601823708207</v>
      </c>
      <c r="J130" s="3"/>
      <c r="K130" s="3"/>
      <c r="L130" s="3"/>
      <c r="M130" s="3">
        <v>84.6875</v>
      </c>
    </row>
    <row r="131" ht="20" customHeight="1" spans="1:13">
      <c r="A131" s="2">
        <v>130</v>
      </c>
      <c r="B131" s="2">
        <v>20230817218</v>
      </c>
      <c r="C131" s="7" t="s">
        <v>693</v>
      </c>
      <c r="D131" s="3">
        <v>96.0606060606061</v>
      </c>
      <c r="E131" s="3">
        <v>84.67</v>
      </c>
      <c r="F131" s="3">
        <v>72.5</v>
      </c>
      <c r="G131" s="3">
        <v>10</v>
      </c>
      <c r="H131" s="3"/>
      <c r="I131" s="3">
        <v>96.8701818181818</v>
      </c>
      <c r="J131" s="3"/>
      <c r="K131" s="3"/>
      <c r="L131" s="3"/>
      <c r="M131" s="3">
        <v>84.67</v>
      </c>
    </row>
    <row r="132" ht="20" customHeight="1" spans="1:13">
      <c r="A132" s="2">
        <v>131</v>
      </c>
      <c r="B132" s="2" t="s">
        <v>1535</v>
      </c>
      <c r="C132" s="2" t="s">
        <v>1536</v>
      </c>
      <c r="D132" s="3">
        <v>95.525</v>
      </c>
      <c r="E132" s="3">
        <v>84.67</v>
      </c>
      <c r="F132" s="3"/>
      <c r="G132" s="3"/>
      <c r="H132" s="3"/>
      <c r="I132" s="3">
        <v>87.9265</v>
      </c>
      <c r="J132" s="3"/>
      <c r="K132" s="3"/>
      <c r="L132" s="3"/>
      <c r="M132" s="3">
        <v>84.67</v>
      </c>
    </row>
    <row r="133" ht="20" customHeight="1" spans="1:13">
      <c r="A133" s="2">
        <v>132</v>
      </c>
      <c r="B133" s="2" t="s">
        <v>1601</v>
      </c>
      <c r="C133" s="2" t="s">
        <v>1602</v>
      </c>
      <c r="D133" s="3">
        <v>95.175</v>
      </c>
      <c r="E133" s="3">
        <v>84.67</v>
      </c>
      <c r="F133" s="3"/>
      <c r="G133" s="3"/>
      <c r="H133" s="3"/>
      <c r="I133" s="3">
        <v>87.8215</v>
      </c>
      <c r="J133" s="3"/>
      <c r="K133" s="3" t="s">
        <v>21</v>
      </c>
      <c r="L133" s="3"/>
      <c r="M133" s="3">
        <v>84.67</v>
      </c>
    </row>
    <row r="134" ht="20" customHeight="1" spans="1:13">
      <c r="A134" s="2">
        <v>133</v>
      </c>
      <c r="B134" s="2" t="s">
        <v>1025</v>
      </c>
      <c r="C134" s="2" t="s">
        <v>1026</v>
      </c>
      <c r="D134" s="3">
        <v>100</v>
      </c>
      <c r="E134" s="3">
        <v>84.65</v>
      </c>
      <c r="F134" s="3"/>
      <c r="G134" s="3"/>
      <c r="H134" s="3"/>
      <c r="I134" s="3">
        <v>89.255</v>
      </c>
      <c r="J134" s="3"/>
      <c r="K134" s="3" t="s">
        <v>21</v>
      </c>
      <c r="L134" s="3"/>
      <c r="M134" s="3">
        <v>84.65</v>
      </c>
    </row>
    <row r="135" ht="20" customHeight="1" spans="1:13">
      <c r="A135" s="2">
        <v>134</v>
      </c>
      <c r="B135" s="2">
        <v>20230805321</v>
      </c>
      <c r="C135" s="2" t="s">
        <v>508</v>
      </c>
      <c r="D135" s="3">
        <v>97.84</v>
      </c>
      <c r="E135" s="3">
        <v>84.64</v>
      </c>
      <c r="F135" s="3">
        <v>85</v>
      </c>
      <c r="G135" s="3"/>
      <c r="H135" s="3">
        <v>2</v>
      </c>
      <c r="I135" s="3">
        <v>86.636</v>
      </c>
      <c r="J135" s="3"/>
      <c r="K135" s="3"/>
      <c r="L135" s="3"/>
      <c r="M135" s="3">
        <v>84.64</v>
      </c>
    </row>
    <row r="136" ht="20" customHeight="1" spans="1:13">
      <c r="A136" s="2">
        <v>135</v>
      </c>
      <c r="B136" s="2" t="s">
        <v>1868</v>
      </c>
      <c r="C136" s="2" t="s">
        <v>1869</v>
      </c>
      <c r="D136" s="3">
        <v>91.5531914893617</v>
      </c>
      <c r="E136" s="3">
        <v>85</v>
      </c>
      <c r="F136" s="3">
        <v>82</v>
      </c>
      <c r="G136" s="3">
        <v>2</v>
      </c>
      <c r="H136" s="3"/>
      <c r="I136" s="3">
        <v>88.6659574468085</v>
      </c>
      <c r="J136" s="3"/>
      <c r="K136" s="3"/>
      <c r="L136" s="3" t="s">
        <v>21</v>
      </c>
      <c r="M136" s="3">
        <v>84.625</v>
      </c>
    </row>
    <row r="137" ht="20" customHeight="1" spans="1:13">
      <c r="A137" s="2">
        <v>136</v>
      </c>
      <c r="B137" s="2" t="s">
        <v>1663</v>
      </c>
      <c r="C137" s="2" t="s">
        <v>1664</v>
      </c>
      <c r="D137" s="3">
        <v>100</v>
      </c>
      <c r="E137" s="3">
        <v>84.59</v>
      </c>
      <c r="F137" s="3"/>
      <c r="G137" s="3">
        <v>5.5</v>
      </c>
      <c r="H137" s="3"/>
      <c r="I137" s="3">
        <v>94.713</v>
      </c>
      <c r="J137" s="3"/>
      <c r="K137" s="3"/>
      <c r="L137" s="3" t="s">
        <v>21</v>
      </c>
      <c r="M137" s="3">
        <v>84.59</v>
      </c>
    </row>
    <row r="138" ht="20" customHeight="1" spans="1:13">
      <c r="A138" s="2">
        <v>137</v>
      </c>
      <c r="B138" s="2" t="s">
        <v>775</v>
      </c>
      <c r="C138" s="2" t="s">
        <v>776</v>
      </c>
      <c r="D138" s="3">
        <v>100</v>
      </c>
      <c r="E138" s="3">
        <v>84.47</v>
      </c>
      <c r="F138" s="3"/>
      <c r="G138" s="3"/>
      <c r="H138" s="3"/>
      <c r="I138" s="3">
        <v>89.129</v>
      </c>
      <c r="J138" s="3"/>
      <c r="K138" s="3" t="s">
        <v>21</v>
      </c>
      <c r="L138" s="3"/>
      <c r="M138" s="3">
        <v>84.47</v>
      </c>
    </row>
    <row r="139" ht="20" customHeight="1" spans="1:13">
      <c r="A139" s="2">
        <v>138</v>
      </c>
      <c r="B139" s="2" t="s">
        <v>922</v>
      </c>
      <c r="C139" s="2" t="s">
        <v>923</v>
      </c>
      <c r="D139" s="3">
        <v>95.2059</v>
      </c>
      <c r="E139" s="3">
        <v>84.47</v>
      </c>
      <c r="F139" s="3"/>
      <c r="G139" s="3">
        <v>2.5</v>
      </c>
      <c r="H139" s="3">
        <v>0</v>
      </c>
      <c r="I139" s="3">
        <v>90.19077</v>
      </c>
      <c r="J139" s="3"/>
      <c r="K139" s="3" t="s">
        <v>21</v>
      </c>
      <c r="L139" s="3"/>
      <c r="M139" s="3">
        <v>84.47</v>
      </c>
    </row>
    <row r="140" ht="20" customHeight="1" spans="1:13">
      <c r="A140" s="2">
        <v>139</v>
      </c>
      <c r="B140" s="2">
        <v>20230805112</v>
      </c>
      <c r="C140" s="2" t="s">
        <v>371</v>
      </c>
      <c r="D140" s="3">
        <v>95.2307692307692</v>
      </c>
      <c r="E140" s="3">
        <v>84.45</v>
      </c>
      <c r="F140" s="3">
        <v>86</v>
      </c>
      <c r="G140" s="3"/>
      <c r="H140" s="3">
        <v>1</v>
      </c>
      <c r="I140" s="3">
        <v>86.8392307692308</v>
      </c>
      <c r="J140" s="3"/>
      <c r="K140" s="3"/>
      <c r="L140" s="3"/>
      <c r="M140" s="3">
        <v>84.45</v>
      </c>
    </row>
    <row r="141" ht="20" customHeight="1" spans="1:13">
      <c r="A141" s="2">
        <v>140</v>
      </c>
      <c r="B141" s="2">
        <v>20230805213</v>
      </c>
      <c r="C141" s="2" t="s">
        <v>429</v>
      </c>
      <c r="D141" s="3">
        <v>94.2162162162162</v>
      </c>
      <c r="E141" s="3">
        <v>84.4545454545455</v>
      </c>
      <c r="F141" s="3">
        <v>85.25</v>
      </c>
      <c r="G141" s="3"/>
      <c r="H141" s="3">
        <v>2</v>
      </c>
      <c r="I141" s="3">
        <v>85.4625921375922</v>
      </c>
      <c r="J141" s="3"/>
      <c r="K141" s="3"/>
      <c r="L141" s="3"/>
      <c r="M141" s="3">
        <v>84.45</v>
      </c>
    </row>
    <row r="142" ht="20" customHeight="1" spans="1:13">
      <c r="A142" s="2">
        <v>141</v>
      </c>
      <c r="B142" s="2" t="s">
        <v>1125</v>
      </c>
      <c r="C142" s="2" t="s">
        <v>1126</v>
      </c>
      <c r="D142" s="3">
        <v>99</v>
      </c>
      <c r="E142" s="3">
        <v>84.4</v>
      </c>
      <c r="F142" s="3"/>
      <c r="G142" s="3"/>
      <c r="H142" s="3"/>
      <c r="I142" s="3">
        <v>88.78</v>
      </c>
      <c r="J142" s="3"/>
      <c r="K142" s="3" t="s">
        <v>21</v>
      </c>
      <c r="L142" s="3"/>
      <c r="M142" s="3">
        <v>84.4</v>
      </c>
    </row>
    <row r="143" ht="20" customHeight="1" spans="1:13">
      <c r="A143" s="2">
        <v>142</v>
      </c>
      <c r="B143" s="2" t="s">
        <v>1537</v>
      </c>
      <c r="C143" s="2" t="s">
        <v>1538</v>
      </c>
      <c r="D143" s="3">
        <v>95.5</v>
      </c>
      <c r="E143" s="3">
        <v>84.4</v>
      </c>
      <c r="F143" s="3"/>
      <c r="G143" s="3"/>
      <c r="H143" s="3"/>
      <c r="I143" s="3">
        <v>87.73</v>
      </c>
      <c r="J143" s="3"/>
      <c r="K143" s="3" t="s">
        <v>21</v>
      </c>
      <c r="L143" s="3"/>
      <c r="M143" s="3">
        <v>84.4</v>
      </c>
    </row>
    <row r="144" ht="20" customHeight="1" spans="1:13">
      <c r="A144" s="2">
        <v>143</v>
      </c>
      <c r="B144" s="2" t="s">
        <v>1890</v>
      </c>
      <c r="C144" s="2" t="s">
        <v>1891</v>
      </c>
      <c r="D144" s="3">
        <v>90.936170212766</v>
      </c>
      <c r="E144" s="3">
        <v>84.2142857142857</v>
      </c>
      <c r="F144" s="3">
        <v>85.5</v>
      </c>
      <c r="G144" s="3"/>
      <c r="H144" s="3"/>
      <c r="I144" s="3">
        <v>86.3594224924012</v>
      </c>
      <c r="J144" s="3"/>
      <c r="K144" s="3"/>
      <c r="L144" s="3"/>
      <c r="M144" s="3">
        <v>84.375</v>
      </c>
    </row>
    <row r="145" ht="20" customHeight="1" spans="1:13">
      <c r="A145" s="2">
        <v>144</v>
      </c>
      <c r="B145" s="2" t="s">
        <v>763</v>
      </c>
      <c r="C145" s="2" t="s">
        <v>764</v>
      </c>
      <c r="D145" s="3">
        <v>99</v>
      </c>
      <c r="E145" s="3">
        <v>84.35</v>
      </c>
      <c r="F145" s="3"/>
      <c r="G145" s="3">
        <v>4.5</v>
      </c>
      <c r="H145" s="3"/>
      <c r="I145" s="3">
        <v>93.245</v>
      </c>
      <c r="J145" s="3"/>
      <c r="K145" s="3" t="s">
        <v>21</v>
      </c>
      <c r="L145" s="3"/>
      <c r="M145" s="3">
        <v>84.35</v>
      </c>
    </row>
    <row r="146" ht="20" customHeight="1" spans="1:13">
      <c r="A146" s="2">
        <v>145</v>
      </c>
      <c r="B146" s="2" t="s">
        <v>1016</v>
      </c>
      <c r="C146" s="2" t="s">
        <v>1017</v>
      </c>
      <c r="D146" s="3">
        <v>100</v>
      </c>
      <c r="E146" s="3">
        <v>84.35</v>
      </c>
      <c r="F146" s="3"/>
      <c r="G146" s="3">
        <v>2</v>
      </c>
      <c r="H146" s="3"/>
      <c r="I146" s="3">
        <v>91.045</v>
      </c>
      <c r="J146" s="3"/>
      <c r="K146" s="3"/>
      <c r="L146" s="3" t="s">
        <v>21</v>
      </c>
      <c r="M146" s="3">
        <v>84.35</v>
      </c>
    </row>
    <row r="147" ht="20" customHeight="1" spans="1:13">
      <c r="A147" s="2">
        <v>146</v>
      </c>
      <c r="B147" s="2" t="s">
        <v>1684</v>
      </c>
      <c r="C147" s="2" t="s">
        <v>1685</v>
      </c>
      <c r="D147" s="3">
        <v>100</v>
      </c>
      <c r="E147" s="3">
        <v>84.35</v>
      </c>
      <c r="F147" s="3"/>
      <c r="G147" s="3">
        <v>1</v>
      </c>
      <c r="H147" s="3"/>
      <c r="I147" s="3">
        <v>90.045</v>
      </c>
      <c r="J147" s="3"/>
      <c r="K147" s="3"/>
      <c r="L147" s="3"/>
      <c r="M147" s="3">
        <v>84.35</v>
      </c>
    </row>
    <row r="148" ht="20" customHeight="1" spans="1:13">
      <c r="A148" s="2">
        <v>147</v>
      </c>
      <c r="B148" s="2" t="s">
        <v>1745</v>
      </c>
      <c r="C148" s="2" t="s">
        <v>1746</v>
      </c>
      <c r="D148" s="3">
        <v>100</v>
      </c>
      <c r="E148" s="3">
        <v>84.35</v>
      </c>
      <c r="F148" s="3"/>
      <c r="G148" s="3">
        <v>5</v>
      </c>
      <c r="H148" s="3"/>
      <c r="I148" s="3">
        <v>94.045</v>
      </c>
      <c r="J148" s="3"/>
      <c r="K148" s="3"/>
      <c r="L148" s="3" t="s">
        <v>21</v>
      </c>
      <c r="M148" s="3">
        <v>84.35</v>
      </c>
    </row>
    <row r="149" ht="20" customHeight="1" spans="1:13">
      <c r="A149" s="2">
        <v>148</v>
      </c>
      <c r="B149" s="2" t="s">
        <v>1432</v>
      </c>
      <c r="C149" s="2" t="s">
        <v>1433</v>
      </c>
      <c r="D149" s="3">
        <v>89</v>
      </c>
      <c r="E149" s="3">
        <v>84.33</v>
      </c>
      <c r="F149" s="3"/>
      <c r="G149" s="3"/>
      <c r="H149" s="3"/>
      <c r="I149" s="3">
        <v>85.731</v>
      </c>
      <c r="J149" s="3"/>
      <c r="K149" s="3"/>
      <c r="L149" s="3"/>
      <c r="M149" s="3">
        <v>84.33</v>
      </c>
    </row>
    <row r="150" ht="20" customHeight="1" spans="1:13">
      <c r="A150" s="2">
        <v>149</v>
      </c>
      <c r="B150" s="2">
        <v>20230802310</v>
      </c>
      <c r="C150" s="2" t="s">
        <v>329</v>
      </c>
      <c r="D150" s="3">
        <v>98.31</v>
      </c>
      <c r="E150" s="3">
        <v>84.27</v>
      </c>
      <c r="F150" s="3">
        <v>89.25</v>
      </c>
      <c r="G150" s="3">
        <v>5</v>
      </c>
      <c r="H150" s="3">
        <v>4</v>
      </c>
      <c r="I150" s="3">
        <v>89.98</v>
      </c>
      <c r="J150" s="3"/>
      <c r="K150" s="3"/>
      <c r="L150" s="3"/>
      <c r="M150" s="3">
        <v>84.27</v>
      </c>
    </row>
    <row r="151" ht="20" customHeight="1" spans="1:13">
      <c r="A151" s="2">
        <v>150</v>
      </c>
      <c r="B151" s="2">
        <v>20230817208</v>
      </c>
      <c r="C151" s="2" t="s">
        <v>709</v>
      </c>
      <c r="D151" s="3">
        <v>95.9090909090909</v>
      </c>
      <c r="E151" s="3">
        <v>84.25</v>
      </c>
      <c r="F151" s="3">
        <v>84.75</v>
      </c>
      <c r="G151" s="3">
        <v>1.5</v>
      </c>
      <c r="H151" s="3">
        <v>2</v>
      </c>
      <c r="I151" s="3">
        <v>87.2977272727273</v>
      </c>
      <c r="J151" s="3"/>
      <c r="K151" s="3"/>
      <c r="L151" s="3"/>
      <c r="M151" s="3">
        <v>84.25</v>
      </c>
    </row>
    <row r="152" ht="20" customHeight="1" spans="1:13">
      <c r="A152" s="2">
        <v>151</v>
      </c>
      <c r="B152" s="2">
        <v>20230801109</v>
      </c>
      <c r="C152" s="2" t="s">
        <v>49</v>
      </c>
      <c r="D152" s="3">
        <v>96.75</v>
      </c>
      <c r="E152" s="3">
        <v>84.18</v>
      </c>
      <c r="F152" s="3">
        <v>87.75</v>
      </c>
      <c r="G152" s="3">
        <v>0</v>
      </c>
      <c r="H152" s="3">
        <v>2</v>
      </c>
      <c r="I152" s="3">
        <v>86.308</v>
      </c>
      <c r="J152" s="3"/>
      <c r="K152" s="3"/>
      <c r="L152" s="3"/>
      <c r="M152" s="3">
        <v>84.18</v>
      </c>
    </row>
    <row r="153" ht="20" customHeight="1" spans="1:13">
      <c r="A153" s="2">
        <v>152</v>
      </c>
      <c r="B153" s="2">
        <v>20230802337</v>
      </c>
      <c r="C153" s="2" t="s">
        <v>324</v>
      </c>
      <c r="D153" s="3">
        <v>97.69</v>
      </c>
      <c r="E153" s="3">
        <v>84.18</v>
      </c>
      <c r="F153" s="3">
        <v>90.25</v>
      </c>
      <c r="G153" s="3">
        <v>11</v>
      </c>
      <c r="H153" s="3">
        <v>0</v>
      </c>
      <c r="I153" s="3">
        <v>99.84</v>
      </c>
      <c r="J153" s="3"/>
      <c r="K153" s="3" t="s">
        <v>21</v>
      </c>
      <c r="L153" s="3"/>
      <c r="M153" s="3">
        <v>84.18</v>
      </c>
    </row>
    <row r="154" ht="20" customHeight="1" spans="1:13">
      <c r="A154" s="2">
        <v>153</v>
      </c>
      <c r="B154" s="2">
        <v>20230817104</v>
      </c>
      <c r="C154" s="2" t="s">
        <v>618</v>
      </c>
      <c r="D154" s="3">
        <v>95</v>
      </c>
      <c r="E154" s="3">
        <v>84.17</v>
      </c>
      <c r="F154" s="3">
        <v>83.75</v>
      </c>
      <c r="G154" s="3"/>
      <c r="H154" s="3">
        <v>3</v>
      </c>
      <c r="I154" s="3">
        <v>84.377</v>
      </c>
      <c r="J154" s="3"/>
      <c r="K154" s="3"/>
      <c r="L154" s="3"/>
      <c r="M154" s="3">
        <v>84.17</v>
      </c>
    </row>
    <row r="155" ht="20" customHeight="1" spans="1:13">
      <c r="A155" s="2">
        <v>154</v>
      </c>
      <c r="B155" s="2" t="s">
        <v>938</v>
      </c>
      <c r="C155" s="2" t="s">
        <v>939</v>
      </c>
      <c r="D155" s="3">
        <v>94.2941</v>
      </c>
      <c r="E155" s="3">
        <v>84.12</v>
      </c>
      <c r="F155" s="3"/>
      <c r="G155" s="3">
        <v>0</v>
      </c>
      <c r="H155" s="3">
        <v>0</v>
      </c>
      <c r="I155" s="3">
        <v>87.17223</v>
      </c>
      <c r="J155" s="3"/>
      <c r="K155" s="3" t="s">
        <v>21</v>
      </c>
      <c r="L155" s="3"/>
      <c r="M155" s="3">
        <v>84.12</v>
      </c>
    </row>
    <row r="156" ht="20" customHeight="1" spans="1:13">
      <c r="A156" s="2">
        <v>155</v>
      </c>
      <c r="B156" s="2">
        <v>20230805103</v>
      </c>
      <c r="C156" s="2" t="s">
        <v>364</v>
      </c>
      <c r="D156" s="3">
        <v>95.2564102564103</v>
      </c>
      <c r="E156" s="3">
        <v>84.09</v>
      </c>
      <c r="F156" s="3">
        <v>87.5</v>
      </c>
      <c r="G156" s="3">
        <v>3</v>
      </c>
      <c r="H156" s="3"/>
      <c r="I156" s="3">
        <v>90.7809230769231</v>
      </c>
      <c r="J156" s="3"/>
      <c r="K156" s="3" t="s">
        <v>21</v>
      </c>
      <c r="L156" s="3"/>
      <c r="M156" s="3">
        <v>84.09</v>
      </c>
    </row>
    <row r="157" ht="20" customHeight="1" spans="1:13">
      <c r="A157" s="2">
        <v>156</v>
      </c>
      <c r="B157" s="2">
        <v>20230802305</v>
      </c>
      <c r="C157" s="2" t="s">
        <v>330</v>
      </c>
      <c r="D157" s="3">
        <v>98.84</v>
      </c>
      <c r="E157" s="3">
        <v>84</v>
      </c>
      <c r="F157" s="3">
        <v>86.5</v>
      </c>
      <c r="G157" s="3">
        <v>2</v>
      </c>
      <c r="H157" s="3">
        <v>2</v>
      </c>
      <c r="I157" s="3">
        <v>88.702</v>
      </c>
      <c r="J157" s="3"/>
      <c r="K157" s="3"/>
      <c r="L157" s="3"/>
      <c r="M157" s="3">
        <v>84</v>
      </c>
    </row>
    <row r="158" ht="20" customHeight="1" spans="1:13">
      <c r="A158" s="2">
        <v>157</v>
      </c>
      <c r="B158" s="2">
        <v>20230805131</v>
      </c>
      <c r="C158" s="2" t="s">
        <v>369</v>
      </c>
      <c r="D158" s="3">
        <v>95.4358974358974</v>
      </c>
      <c r="E158" s="3">
        <v>84</v>
      </c>
      <c r="F158" s="3">
        <v>87.25</v>
      </c>
      <c r="G158" s="3"/>
      <c r="H158" s="3"/>
      <c r="I158" s="3">
        <v>87.7557692307692</v>
      </c>
      <c r="J158" s="3"/>
      <c r="K158" s="3"/>
      <c r="L158" s="3"/>
      <c r="M158" s="3">
        <v>84</v>
      </c>
    </row>
    <row r="159" ht="20" customHeight="1" spans="1:13">
      <c r="A159" s="2">
        <v>158</v>
      </c>
      <c r="B159" s="2" t="s">
        <v>1669</v>
      </c>
      <c r="C159" s="2" t="s">
        <v>1670</v>
      </c>
      <c r="D159" s="3">
        <v>99</v>
      </c>
      <c r="E159" s="3">
        <v>84</v>
      </c>
      <c r="F159" s="3"/>
      <c r="G159" s="3">
        <v>1.5</v>
      </c>
      <c r="H159" s="3"/>
      <c r="I159" s="3">
        <v>91.5</v>
      </c>
      <c r="J159" s="3"/>
      <c r="K159" s="3" t="s">
        <v>21</v>
      </c>
      <c r="L159" s="3"/>
      <c r="M159" s="3">
        <v>84</v>
      </c>
    </row>
    <row r="160" ht="20" customHeight="1" spans="1:13">
      <c r="A160" s="2">
        <v>159</v>
      </c>
      <c r="B160" s="2" t="s">
        <v>1206</v>
      </c>
      <c r="C160" s="2" t="s">
        <v>1207</v>
      </c>
      <c r="D160" s="3">
        <v>91.26</v>
      </c>
      <c r="E160" s="3">
        <v>83.98</v>
      </c>
      <c r="F160" s="3"/>
      <c r="G160" s="3">
        <v>1</v>
      </c>
      <c r="H160" s="3"/>
      <c r="I160" s="3">
        <v>87.164</v>
      </c>
      <c r="J160" s="3"/>
      <c r="K160" s="3" t="s">
        <v>21</v>
      </c>
      <c r="L160" s="3"/>
      <c r="M160" s="3">
        <v>83.93</v>
      </c>
    </row>
    <row r="161" ht="20" customHeight="1" spans="1:13">
      <c r="A161" s="2">
        <v>160</v>
      </c>
      <c r="B161" s="2" t="s">
        <v>1539</v>
      </c>
      <c r="C161" s="2" t="s">
        <v>1540</v>
      </c>
      <c r="D161" s="3">
        <v>95.7</v>
      </c>
      <c r="E161" s="3">
        <v>83.93</v>
      </c>
      <c r="F161" s="3"/>
      <c r="G161" s="3"/>
      <c r="H161" s="3"/>
      <c r="I161" s="3">
        <v>87.461</v>
      </c>
      <c r="J161" s="3"/>
      <c r="K161" s="3"/>
      <c r="L161" s="3"/>
      <c r="M161" s="3">
        <v>83.93</v>
      </c>
    </row>
    <row r="162" ht="20" customHeight="1" spans="1:13">
      <c r="A162" s="2">
        <v>161</v>
      </c>
      <c r="B162" s="2">
        <v>20230817139</v>
      </c>
      <c r="C162" s="2" t="s">
        <v>588</v>
      </c>
      <c r="D162" s="3">
        <v>98</v>
      </c>
      <c r="E162" s="3">
        <v>83.92</v>
      </c>
      <c r="F162" s="3">
        <v>85.75</v>
      </c>
      <c r="G162" s="3">
        <v>3</v>
      </c>
      <c r="H162" s="3"/>
      <c r="I162" s="3">
        <v>91.327</v>
      </c>
      <c r="J162" s="3"/>
      <c r="K162" s="3" t="s">
        <v>21</v>
      </c>
      <c r="L162" s="3"/>
      <c r="M162" s="3">
        <v>83.92</v>
      </c>
    </row>
    <row r="163" ht="20" customHeight="1" spans="1:13">
      <c r="A163" s="2">
        <v>162</v>
      </c>
      <c r="B163" s="2">
        <v>20230805117</v>
      </c>
      <c r="C163" s="2" t="s">
        <v>372</v>
      </c>
      <c r="D163" s="3">
        <v>95.3076923076923</v>
      </c>
      <c r="E163" s="3">
        <v>83.91</v>
      </c>
      <c r="F163" s="3">
        <v>87.5</v>
      </c>
      <c r="G163" s="3"/>
      <c r="H163" s="3">
        <v>1</v>
      </c>
      <c r="I163" s="3">
        <v>86.6883076923077</v>
      </c>
      <c r="J163" s="3"/>
      <c r="K163" s="3"/>
      <c r="L163" s="3"/>
      <c r="M163" s="3">
        <v>83.91</v>
      </c>
    </row>
    <row r="164" ht="20" customHeight="1" spans="1:13">
      <c r="A164" s="2">
        <v>163</v>
      </c>
      <c r="B164" s="2" t="s">
        <v>1127</v>
      </c>
      <c r="C164" s="2" t="s">
        <v>1128</v>
      </c>
      <c r="D164" s="3">
        <v>95</v>
      </c>
      <c r="E164" s="3">
        <v>83.87</v>
      </c>
      <c r="F164" s="3"/>
      <c r="G164" s="3">
        <v>1</v>
      </c>
      <c r="H164" s="3"/>
      <c r="I164" s="3">
        <v>88.209</v>
      </c>
      <c r="J164" s="3"/>
      <c r="K164" s="3" t="s">
        <v>21</v>
      </c>
      <c r="L164" s="3"/>
      <c r="M164" s="3">
        <v>83.87</v>
      </c>
    </row>
    <row r="165" ht="20" customHeight="1" spans="1:13">
      <c r="A165" s="2">
        <v>164</v>
      </c>
      <c r="B165" s="2" t="s">
        <v>1129</v>
      </c>
      <c r="C165" s="2" t="s">
        <v>1131</v>
      </c>
      <c r="D165" s="3">
        <v>96.5</v>
      </c>
      <c r="E165" s="3">
        <v>83.87</v>
      </c>
      <c r="F165" s="3"/>
      <c r="G165" s="3"/>
      <c r="H165" s="3"/>
      <c r="I165" s="3">
        <v>87.659</v>
      </c>
      <c r="J165" s="3"/>
      <c r="K165" s="3"/>
      <c r="L165" s="3"/>
      <c r="M165" s="3">
        <v>83.87</v>
      </c>
    </row>
    <row r="166" ht="20" customHeight="1" spans="1:13">
      <c r="A166" s="2">
        <v>165</v>
      </c>
      <c r="B166" s="2" t="s">
        <v>1216</v>
      </c>
      <c r="C166" s="2" t="s">
        <v>1217</v>
      </c>
      <c r="D166" s="3">
        <v>88.59</v>
      </c>
      <c r="E166" s="3">
        <v>83.87</v>
      </c>
      <c r="F166" s="3"/>
      <c r="G166" s="3"/>
      <c r="H166" s="3"/>
      <c r="I166" s="3">
        <v>85.286</v>
      </c>
      <c r="J166" s="3"/>
      <c r="K166" s="3" t="s">
        <v>21</v>
      </c>
      <c r="L166" s="3"/>
      <c r="M166" s="3">
        <v>83.87</v>
      </c>
    </row>
    <row r="167" ht="20" customHeight="1" spans="1:13">
      <c r="A167" s="2">
        <v>166</v>
      </c>
      <c r="B167" s="2" t="s">
        <v>1283</v>
      </c>
      <c r="C167" s="2" t="s">
        <v>1284</v>
      </c>
      <c r="D167" s="3">
        <v>100</v>
      </c>
      <c r="E167" s="3">
        <v>83.87</v>
      </c>
      <c r="F167" s="3"/>
      <c r="G167" s="3">
        <v>6</v>
      </c>
      <c r="H167" s="3"/>
      <c r="I167" s="3">
        <v>94.709</v>
      </c>
      <c r="J167" s="3"/>
      <c r="K167" s="3"/>
      <c r="L167" s="3" t="s">
        <v>21</v>
      </c>
      <c r="M167" s="3">
        <v>83.87</v>
      </c>
    </row>
    <row r="168" ht="20" customHeight="1" spans="1:13">
      <c r="A168" s="2">
        <v>167</v>
      </c>
      <c r="B168" s="2" t="s">
        <v>1543</v>
      </c>
      <c r="C168" s="2" t="s">
        <v>1544</v>
      </c>
      <c r="D168" s="3">
        <v>94.625</v>
      </c>
      <c r="E168" s="3">
        <v>83.87</v>
      </c>
      <c r="F168" s="3"/>
      <c r="G168" s="3"/>
      <c r="H168" s="3"/>
      <c r="I168" s="3">
        <v>87.0965</v>
      </c>
      <c r="J168" s="3"/>
      <c r="K168" s="3"/>
      <c r="L168" s="3"/>
      <c r="M168" s="3">
        <v>83.87</v>
      </c>
    </row>
    <row r="169" ht="20" customHeight="1" spans="1:13">
      <c r="A169" s="2">
        <v>168</v>
      </c>
      <c r="B169" s="2" t="s">
        <v>1796</v>
      </c>
      <c r="C169" s="2" t="s">
        <v>1797</v>
      </c>
      <c r="D169" s="3">
        <v>88</v>
      </c>
      <c r="E169" s="3">
        <v>83.86</v>
      </c>
      <c r="F169" s="3"/>
      <c r="G169" s="3"/>
      <c r="H169" s="3"/>
      <c r="I169" s="3">
        <v>85.102</v>
      </c>
      <c r="J169" s="3"/>
      <c r="K169" s="3" t="s">
        <v>21</v>
      </c>
      <c r="L169" s="3"/>
      <c r="M169" s="3">
        <v>83.86</v>
      </c>
    </row>
    <row r="170" ht="20" customHeight="1" spans="1:13">
      <c r="A170" s="2">
        <v>169</v>
      </c>
      <c r="B170" s="2" t="s">
        <v>1675</v>
      </c>
      <c r="C170" s="2" t="s">
        <v>1676</v>
      </c>
      <c r="D170" s="3">
        <v>100</v>
      </c>
      <c r="E170" s="3">
        <v>83.82</v>
      </c>
      <c r="F170" s="3"/>
      <c r="G170" s="3">
        <v>1.5</v>
      </c>
      <c r="H170" s="3"/>
      <c r="I170" s="3">
        <v>90.674</v>
      </c>
      <c r="J170" s="3"/>
      <c r="K170" s="3"/>
      <c r="L170" s="3" t="s">
        <v>21</v>
      </c>
      <c r="M170" s="3">
        <v>83.82</v>
      </c>
    </row>
    <row r="171" ht="20" customHeight="1" spans="1:13">
      <c r="A171" s="2">
        <v>170</v>
      </c>
      <c r="B171" s="2">
        <v>20230802211</v>
      </c>
      <c r="C171" s="2" t="s">
        <v>241</v>
      </c>
      <c r="D171" s="3">
        <v>96.59</v>
      </c>
      <c r="E171" s="3">
        <v>83.73</v>
      </c>
      <c r="F171" s="3">
        <v>89.75</v>
      </c>
      <c r="G171" s="3">
        <v>1</v>
      </c>
      <c r="H171" s="3"/>
      <c r="I171" s="3">
        <v>89.19</v>
      </c>
      <c r="J171" s="3"/>
      <c r="K171" s="3" t="s">
        <v>21</v>
      </c>
      <c r="L171" s="3"/>
      <c r="M171" s="3">
        <v>83.73</v>
      </c>
    </row>
    <row r="172" ht="20" customHeight="1" spans="1:13">
      <c r="A172" s="2">
        <v>171</v>
      </c>
      <c r="B172" s="2" t="s">
        <v>1680</v>
      </c>
      <c r="C172" s="2" t="s">
        <v>1681</v>
      </c>
      <c r="D172" s="3">
        <v>97</v>
      </c>
      <c r="E172" s="3">
        <v>83.71</v>
      </c>
      <c r="F172" s="3"/>
      <c r="G172" s="3">
        <v>2.5</v>
      </c>
      <c r="H172" s="3"/>
      <c r="I172" s="3">
        <v>90.197</v>
      </c>
      <c r="J172" s="3"/>
      <c r="K172" s="3" t="s">
        <v>21</v>
      </c>
      <c r="L172" s="3"/>
      <c r="M172" s="3">
        <v>83.71</v>
      </c>
    </row>
    <row r="173" ht="20" customHeight="1" spans="1:13">
      <c r="A173" s="2">
        <v>172</v>
      </c>
      <c r="B173" s="2" t="s">
        <v>1804</v>
      </c>
      <c r="C173" s="2" t="s">
        <v>1805</v>
      </c>
      <c r="D173" s="3">
        <v>85</v>
      </c>
      <c r="E173" s="3">
        <v>83.71</v>
      </c>
      <c r="F173" s="3"/>
      <c r="G173" s="3"/>
      <c r="H173" s="3"/>
      <c r="I173" s="3">
        <v>84.097</v>
      </c>
      <c r="J173" s="3"/>
      <c r="K173" s="3"/>
      <c r="L173" s="3"/>
      <c r="M173" s="3">
        <v>83.71</v>
      </c>
    </row>
    <row r="174" ht="20" customHeight="1" spans="1:13">
      <c r="A174" s="2">
        <v>173</v>
      </c>
      <c r="B174" s="2">
        <v>20230817101</v>
      </c>
      <c r="C174" s="2" t="s">
        <v>591</v>
      </c>
      <c r="D174" s="3">
        <v>97</v>
      </c>
      <c r="E174" s="3">
        <v>83.67</v>
      </c>
      <c r="F174" s="3">
        <v>84</v>
      </c>
      <c r="G174" s="3">
        <v>2.5</v>
      </c>
      <c r="H174" s="3"/>
      <c r="I174" s="3">
        <v>90.202</v>
      </c>
      <c r="J174" s="3"/>
      <c r="K174" s="3" t="s">
        <v>21</v>
      </c>
      <c r="L174" s="3"/>
      <c r="M174" s="3">
        <v>83.67</v>
      </c>
    </row>
    <row r="175" ht="20" customHeight="1" spans="1:13">
      <c r="A175" s="2">
        <v>174</v>
      </c>
      <c r="B175" s="2" t="s">
        <v>1531</v>
      </c>
      <c r="C175" s="2" t="s">
        <v>1532</v>
      </c>
      <c r="D175" s="3">
        <v>96.05</v>
      </c>
      <c r="E175" s="3">
        <v>83.67</v>
      </c>
      <c r="F175" s="3"/>
      <c r="G175" s="3">
        <v>2</v>
      </c>
      <c r="H175" s="3"/>
      <c r="I175" s="3">
        <v>89.384</v>
      </c>
      <c r="J175" s="3"/>
      <c r="K175" s="3"/>
      <c r="L175" s="3" t="s">
        <v>21</v>
      </c>
      <c r="M175" s="3">
        <v>83.67</v>
      </c>
    </row>
    <row r="176" ht="20" customHeight="1" spans="1:13">
      <c r="A176" s="2">
        <v>175</v>
      </c>
      <c r="B176" s="2">
        <v>20230805317</v>
      </c>
      <c r="C176" s="2" t="s">
        <v>485</v>
      </c>
      <c r="D176" s="3">
        <v>98.08</v>
      </c>
      <c r="E176" s="3">
        <v>83.64</v>
      </c>
      <c r="F176" s="3">
        <v>86.25</v>
      </c>
      <c r="G176" s="3">
        <v>7</v>
      </c>
      <c r="H176" s="3"/>
      <c r="I176" s="3">
        <v>95.233</v>
      </c>
      <c r="J176" s="3"/>
      <c r="K176" s="3"/>
      <c r="L176" s="3" t="s">
        <v>21</v>
      </c>
      <c r="M176" s="3">
        <v>83.64</v>
      </c>
    </row>
    <row r="177" ht="20" customHeight="1" spans="1:13">
      <c r="A177" s="2">
        <v>176</v>
      </c>
      <c r="B177" s="2">
        <v>20230817125</v>
      </c>
      <c r="C177" s="2" t="s">
        <v>594</v>
      </c>
      <c r="D177" s="3">
        <v>95</v>
      </c>
      <c r="E177" s="3">
        <v>83.58</v>
      </c>
      <c r="F177" s="3">
        <v>86</v>
      </c>
      <c r="G177" s="3">
        <v>1</v>
      </c>
      <c r="H177" s="3"/>
      <c r="I177" s="3">
        <v>88.248</v>
      </c>
      <c r="J177" s="3"/>
      <c r="K177" s="3"/>
      <c r="L177" s="3" t="s">
        <v>21</v>
      </c>
      <c r="M177" s="3">
        <v>83.58</v>
      </c>
    </row>
    <row r="178" ht="20" customHeight="1" spans="1:13">
      <c r="A178" s="2">
        <v>177</v>
      </c>
      <c r="B178" s="2" t="s">
        <v>1028</v>
      </c>
      <c r="C178" s="2" t="s">
        <v>1029</v>
      </c>
      <c r="D178" s="3">
        <v>100</v>
      </c>
      <c r="E178" s="3">
        <v>83.53</v>
      </c>
      <c r="F178" s="3"/>
      <c r="G178" s="3"/>
      <c r="H178" s="3"/>
      <c r="I178" s="3">
        <v>88.471</v>
      </c>
      <c r="J178" s="3"/>
      <c r="K178" s="3" t="s">
        <v>21</v>
      </c>
      <c r="L178" s="3"/>
      <c r="M178" s="3">
        <v>83.53</v>
      </c>
    </row>
    <row r="179" ht="20" customHeight="1" spans="1:13">
      <c r="A179" s="2">
        <v>178</v>
      </c>
      <c r="B179" s="2" t="s">
        <v>1031</v>
      </c>
      <c r="C179" s="2" t="s">
        <v>1032</v>
      </c>
      <c r="D179" s="3">
        <v>100</v>
      </c>
      <c r="E179" s="3">
        <v>83.47</v>
      </c>
      <c r="F179" s="3"/>
      <c r="G179" s="3"/>
      <c r="H179" s="3"/>
      <c r="I179" s="3">
        <v>88.429</v>
      </c>
      <c r="J179" s="3"/>
      <c r="K179" s="3" t="s">
        <v>21</v>
      </c>
      <c r="L179" s="3"/>
      <c r="M179" s="3">
        <v>83.47</v>
      </c>
    </row>
    <row r="180" ht="20" customHeight="1" spans="1:13">
      <c r="A180" s="2">
        <v>179</v>
      </c>
      <c r="B180" s="2" t="s">
        <v>1620</v>
      </c>
      <c r="C180" s="2" t="s">
        <v>1621</v>
      </c>
      <c r="D180" s="3">
        <v>95.425</v>
      </c>
      <c r="E180" s="3">
        <v>83.47</v>
      </c>
      <c r="F180" s="3"/>
      <c r="G180" s="3"/>
      <c r="H180" s="3">
        <v>4</v>
      </c>
      <c r="I180" s="3">
        <v>83.0565</v>
      </c>
      <c r="J180" s="3"/>
      <c r="K180" s="3"/>
      <c r="L180" s="3"/>
      <c r="M180" s="3">
        <v>83.47</v>
      </c>
    </row>
    <row r="181" ht="20" customHeight="1" spans="1:13">
      <c r="A181" s="2">
        <v>180</v>
      </c>
      <c r="B181" s="2" t="s">
        <v>1786</v>
      </c>
      <c r="C181" s="2" t="s">
        <v>1787</v>
      </c>
      <c r="D181" s="3">
        <v>96</v>
      </c>
      <c r="E181" s="3">
        <v>83.43</v>
      </c>
      <c r="F181" s="3"/>
      <c r="G181" s="3">
        <v>3.5</v>
      </c>
      <c r="H181" s="3"/>
      <c r="I181" s="3">
        <v>90.701</v>
      </c>
      <c r="J181" s="3"/>
      <c r="K181" s="3"/>
      <c r="L181" s="3" t="s">
        <v>21</v>
      </c>
      <c r="M181" s="3">
        <v>83.43</v>
      </c>
    </row>
    <row r="182" ht="20" customHeight="1" spans="1:13">
      <c r="A182" s="2">
        <v>181</v>
      </c>
      <c r="B182" s="2" t="s">
        <v>1405</v>
      </c>
      <c r="C182" s="2" t="s">
        <v>1406</v>
      </c>
      <c r="D182" s="3">
        <v>100</v>
      </c>
      <c r="E182" s="3">
        <v>83.4</v>
      </c>
      <c r="F182" s="3"/>
      <c r="G182" s="3">
        <v>2.5</v>
      </c>
      <c r="H182" s="3"/>
      <c r="I182" s="3">
        <v>90.88</v>
      </c>
      <c r="J182" s="3"/>
      <c r="K182" s="3"/>
      <c r="L182" s="3" t="s">
        <v>21</v>
      </c>
      <c r="M182" s="3">
        <v>83.4</v>
      </c>
    </row>
    <row r="183" ht="20" customHeight="1" spans="1:13">
      <c r="A183" s="2">
        <v>182</v>
      </c>
      <c r="B183" s="2">
        <v>20230802107</v>
      </c>
      <c r="C183" s="2" t="s">
        <v>124</v>
      </c>
      <c r="D183" s="3">
        <v>97.94</v>
      </c>
      <c r="E183" s="3">
        <v>83.36</v>
      </c>
      <c r="F183" s="3">
        <v>87.25</v>
      </c>
      <c r="G183" s="3">
        <v>24</v>
      </c>
      <c r="H183" s="3"/>
      <c r="I183" s="3">
        <v>112.123</v>
      </c>
      <c r="J183" s="3"/>
      <c r="K183" s="3" t="s">
        <v>21</v>
      </c>
      <c r="L183" s="3"/>
      <c r="M183" s="3">
        <v>83.36</v>
      </c>
    </row>
    <row r="184" ht="20" customHeight="1" spans="1:13">
      <c r="A184" s="2">
        <v>183</v>
      </c>
      <c r="B184" s="2">
        <v>20230805313</v>
      </c>
      <c r="C184" s="2" t="s">
        <v>504</v>
      </c>
      <c r="D184" s="3">
        <v>97.58</v>
      </c>
      <c r="E184" s="3">
        <v>83.36</v>
      </c>
      <c r="F184" s="3">
        <v>87</v>
      </c>
      <c r="G184" s="3"/>
      <c r="H184" s="3"/>
      <c r="I184" s="3">
        <v>87.99</v>
      </c>
      <c r="J184" s="3"/>
      <c r="K184" s="3" t="s">
        <v>21</v>
      </c>
      <c r="L184" s="3"/>
      <c r="M184" s="3">
        <v>83.36</v>
      </c>
    </row>
    <row r="185" ht="20" customHeight="1" spans="1:13">
      <c r="A185" s="2">
        <v>184</v>
      </c>
      <c r="B185" s="2" t="s">
        <v>1138</v>
      </c>
      <c r="C185" s="7" t="s">
        <v>1139</v>
      </c>
      <c r="D185" s="3">
        <v>92</v>
      </c>
      <c r="E185" s="3">
        <v>83.33</v>
      </c>
      <c r="F185" s="3"/>
      <c r="G185" s="3">
        <v>1</v>
      </c>
      <c r="H185" s="3"/>
      <c r="I185" s="3">
        <v>86.931</v>
      </c>
      <c r="J185" s="3"/>
      <c r="K185" s="3"/>
      <c r="L185" s="3"/>
      <c r="M185" s="3">
        <v>83.33</v>
      </c>
    </row>
    <row r="186" ht="20" customHeight="1" spans="1:13">
      <c r="A186" s="2">
        <v>185</v>
      </c>
      <c r="B186" s="2" t="s">
        <v>1212</v>
      </c>
      <c r="C186" s="2" t="s">
        <v>1213</v>
      </c>
      <c r="D186" s="3">
        <v>89.55</v>
      </c>
      <c r="E186" s="3">
        <v>83.33</v>
      </c>
      <c r="F186" s="3"/>
      <c r="G186" s="3">
        <v>1.5</v>
      </c>
      <c r="H186" s="3"/>
      <c r="I186" s="3">
        <v>86.696</v>
      </c>
      <c r="J186" s="3"/>
      <c r="K186" s="3"/>
      <c r="L186" s="3" t="s">
        <v>21</v>
      </c>
      <c r="M186" s="3">
        <v>83.33</v>
      </c>
    </row>
    <row r="187" ht="20" customHeight="1" spans="1:13">
      <c r="A187" s="2">
        <v>186</v>
      </c>
      <c r="B187" s="2" t="s">
        <v>1424</v>
      </c>
      <c r="C187" s="2" t="s">
        <v>1425</v>
      </c>
      <c r="D187" s="3">
        <v>90</v>
      </c>
      <c r="E187" s="3">
        <v>83.33</v>
      </c>
      <c r="F187" s="3"/>
      <c r="G187" s="3">
        <v>1.5</v>
      </c>
      <c r="H187" s="3"/>
      <c r="I187" s="3">
        <v>86.831</v>
      </c>
      <c r="J187" s="3"/>
      <c r="K187" s="3" t="s">
        <v>21</v>
      </c>
      <c r="L187" s="3"/>
      <c r="M187" s="3">
        <v>83.33</v>
      </c>
    </row>
    <row r="188" ht="20" customHeight="1" spans="1:13">
      <c r="A188" s="2">
        <v>187</v>
      </c>
      <c r="B188" s="2" t="s">
        <v>1439</v>
      </c>
      <c r="C188" s="2" t="s">
        <v>1440</v>
      </c>
      <c r="D188" s="3">
        <v>90</v>
      </c>
      <c r="E188" s="3">
        <v>83.33</v>
      </c>
      <c r="F188" s="3"/>
      <c r="G188" s="3"/>
      <c r="H188" s="3"/>
      <c r="I188" s="3">
        <v>85.331</v>
      </c>
      <c r="J188" s="3"/>
      <c r="K188" s="3"/>
      <c r="L188" s="3"/>
      <c r="M188" s="3">
        <v>83.33</v>
      </c>
    </row>
    <row r="189" ht="20" customHeight="1" spans="1:13">
      <c r="A189" s="2">
        <v>188</v>
      </c>
      <c r="B189" s="2" t="s">
        <v>941</v>
      </c>
      <c r="C189" s="2" t="s">
        <v>942</v>
      </c>
      <c r="D189" s="3">
        <v>95.3529</v>
      </c>
      <c r="E189" s="3">
        <v>83.29</v>
      </c>
      <c r="F189" s="3"/>
      <c r="G189" s="3">
        <v>0</v>
      </c>
      <c r="H189" s="3">
        <v>0</v>
      </c>
      <c r="I189" s="3">
        <v>86.90887</v>
      </c>
      <c r="J189" s="3"/>
      <c r="K189" s="3" t="s">
        <v>21</v>
      </c>
      <c r="L189" s="3"/>
      <c r="M189" s="3">
        <v>83.29</v>
      </c>
    </row>
    <row r="190" ht="20" customHeight="1" spans="1:13">
      <c r="A190" s="2">
        <v>189</v>
      </c>
      <c r="B190" s="2">
        <v>20230802128</v>
      </c>
      <c r="C190" s="2" t="s">
        <v>144</v>
      </c>
      <c r="D190" s="3">
        <v>96.88</v>
      </c>
      <c r="E190" s="3">
        <v>83.27</v>
      </c>
      <c r="F190" s="3">
        <v>87.5</v>
      </c>
      <c r="G190" s="3">
        <v>1</v>
      </c>
      <c r="H190" s="3"/>
      <c r="I190" s="3">
        <v>88.776</v>
      </c>
      <c r="J190" s="3"/>
      <c r="K190" s="3"/>
      <c r="L190" s="3" t="s">
        <v>21</v>
      </c>
      <c r="M190" s="3">
        <v>83.27</v>
      </c>
    </row>
    <row r="191" ht="20" customHeight="1" spans="1:13">
      <c r="A191" s="2">
        <v>190</v>
      </c>
      <c r="B191" s="2" t="s">
        <v>778</v>
      </c>
      <c r="C191" s="2" t="s">
        <v>779</v>
      </c>
      <c r="D191" s="3">
        <v>99</v>
      </c>
      <c r="E191" s="3">
        <v>83.24</v>
      </c>
      <c r="F191" s="3"/>
      <c r="G191" s="3"/>
      <c r="H191" s="3"/>
      <c r="I191" s="3">
        <v>87.968</v>
      </c>
      <c r="J191" s="3"/>
      <c r="K191" s="3" t="s">
        <v>21</v>
      </c>
      <c r="L191" s="3"/>
      <c r="M191" s="3">
        <v>83.24</v>
      </c>
    </row>
    <row r="192" ht="20" customHeight="1" spans="1:13">
      <c r="A192" s="2">
        <v>191</v>
      </c>
      <c r="B192" s="2">
        <v>20230802218</v>
      </c>
      <c r="C192" s="2" t="s">
        <v>229</v>
      </c>
      <c r="D192" s="3">
        <v>96.59</v>
      </c>
      <c r="E192" s="3">
        <v>83.18</v>
      </c>
      <c r="F192" s="3">
        <v>85.75</v>
      </c>
      <c r="G192" s="3">
        <v>14</v>
      </c>
      <c r="H192" s="3"/>
      <c r="I192" s="3">
        <v>101.46</v>
      </c>
      <c r="J192" s="3"/>
      <c r="K192" s="3" t="s">
        <v>21</v>
      </c>
      <c r="L192" s="3"/>
      <c r="M192" s="3">
        <v>83.18</v>
      </c>
    </row>
    <row r="193" ht="20" customHeight="1" spans="1:13">
      <c r="A193" s="2">
        <v>192</v>
      </c>
      <c r="B193" s="2">
        <v>20230805211</v>
      </c>
      <c r="C193" s="2" t="s">
        <v>425</v>
      </c>
      <c r="D193" s="3">
        <v>92.4594594594595</v>
      </c>
      <c r="E193" s="3">
        <v>83.1818181818182</v>
      </c>
      <c r="F193" s="3">
        <v>87.75</v>
      </c>
      <c r="G193" s="3"/>
      <c r="H193" s="3"/>
      <c r="I193" s="3">
        <v>86.4219287469288</v>
      </c>
      <c r="J193" s="3"/>
      <c r="K193" s="3" t="s">
        <v>21</v>
      </c>
      <c r="L193" s="3"/>
      <c r="M193" s="3">
        <v>83.18</v>
      </c>
    </row>
    <row r="194" ht="20" customHeight="1" spans="1:13">
      <c r="A194" s="2">
        <v>193</v>
      </c>
      <c r="B194" s="2" t="s">
        <v>1665</v>
      </c>
      <c r="C194" s="2" t="s">
        <v>1666</v>
      </c>
      <c r="D194" s="3">
        <v>100</v>
      </c>
      <c r="E194" s="3">
        <v>83.18</v>
      </c>
      <c r="F194" s="3"/>
      <c r="G194" s="3">
        <v>4</v>
      </c>
      <c r="H194" s="3"/>
      <c r="I194" s="3">
        <v>92.226</v>
      </c>
      <c r="J194" s="3"/>
      <c r="K194" s="3"/>
      <c r="L194" s="3" t="s">
        <v>21</v>
      </c>
      <c r="M194" s="3">
        <v>83.18</v>
      </c>
    </row>
    <row r="195" ht="20" customHeight="1" spans="1:13">
      <c r="A195" s="2">
        <v>194</v>
      </c>
      <c r="B195" s="2">
        <v>20230817123</v>
      </c>
      <c r="C195" s="2" t="s">
        <v>606</v>
      </c>
      <c r="D195" s="3">
        <v>96</v>
      </c>
      <c r="E195" s="3">
        <v>83.17</v>
      </c>
      <c r="F195" s="3">
        <v>80.5</v>
      </c>
      <c r="G195" s="3">
        <v>2</v>
      </c>
      <c r="H195" s="3">
        <v>3</v>
      </c>
      <c r="I195" s="3">
        <v>85.752</v>
      </c>
      <c r="J195" s="3"/>
      <c r="K195" s="3"/>
      <c r="L195" s="3"/>
      <c r="M195" s="3">
        <v>83.17</v>
      </c>
    </row>
    <row r="196" ht="20" customHeight="1" spans="1:13">
      <c r="A196" s="2">
        <v>195</v>
      </c>
      <c r="B196" s="2" t="s">
        <v>1222</v>
      </c>
      <c r="C196" s="2" t="s">
        <v>1223</v>
      </c>
      <c r="D196" s="3">
        <v>88.31</v>
      </c>
      <c r="E196" s="3">
        <v>83.13</v>
      </c>
      <c r="F196" s="3"/>
      <c r="G196" s="3"/>
      <c r="H196" s="3"/>
      <c r="I196" s="3">
        <v>84.684</v>
      </c>
      <c r="J196" s="3"/>
      <c r="K196" s="3"/>
      <c r="L196" s="3"/>
      <c r="M196" s="3">
        <v>83.13</v>
      </c>
    </row>
    <row r="197" ht="20" customHeight="1" spans="1:13">
      <c r="A197" s="2">
        <v>196</v>
      </c>
      <c r="B197" s="2">
        <v>20230802230</v>
      </c>
      <c r="C197" s="2" t="s">
        <v>249</v>
      </c>
      <c r="D197" s="3">
        <v>97.12</v>
      </c>
      <c r="E197" s="3">
        <v>83.09</v>
      </c>
      <c r="F197" s="3">
        <v>79.75</v>
      </c>
      <c r="G197" s="3">
        <v>2</v>
      </c>
      <c r="H197" s="3">
        <v>2</v>
      </c>
      <c r="I197" s="3">
        <v>86.965</v>
      </c>
      <c r="J197" s="3"/>
      <c r="K197" s="3"/>
      <c r="L197" s="3"/>
      <c r="M197" s="3">
        <v>83.09</v>
      </c>
    </row>
    <row r="198" ht="20" customHeight="1" spans="1:13">
      <c r="A198" s="2">
        <v>197</v>
      </c>
      <c r="B198" s="2">
        <v>20230802137</v>
      </c>
      <c r="C198" s="2" t="s">
        <v>147</v>
      </c>
      <c r="D198" s="3">
        <v>96.97</v>
      </c>
      <c r="E198" s="3">
        <v>83</v>
      </c>
      <c r="F198" s="3">
        <v>87.25</v>
      </c>
      <c r="G198" s="3"/>
      <c r="H198" s="3"/>
      <c r="I198" s="3">
        <v>87.616</v>
      </c>
      <c r="J198" s="3"/>
      <c r="K198" s="3"/>
      <c r="L198" s="3"/>
      <c r="M198" s="3">
        <v>83</v>
      </c>
    </row>
    <row r="199" ht="20" customHeight="1" spans="1:13">
      <c r="A199" s="2">
        <v>198</v>
      </c>
      <c r="B199" s="2">
        <v>20230805141</v>
      </c>
      <c r="C199" s="2" t="s">
        <v>370</v>
      </c>
      <c r="D199" s="3">
        <v>95.4615384615385</v>
      </c>
      <c r="E199" s="3">
        <v>83</v>
      </c>
      <c r="F199" s="3">
        <v>85.5</v>
      </c>
      <c r="G199" s="3"/>
      <c r="H199" s="3"/>
      <c r="I199" s="3">
        <v>86.9884615384615</v>
      </c>
      <c r="J199" s="3"/>
      <c r="K199" s="3"/>
      <c r="L199" s="3"/>
      <c r="M199" s="3">
        <v>83</v>
      </c>
    </row>
    <row r="200" ht="20" customHeight="1" spans="1:13">
      <c r="A200" s="2">
        <v>199</v>
      </c>
      <c r="B200" s="2" t="s">
        <v>1513</v>
      </c>
      <c r="C200" s="2" t="s">
        <v>1514</v>
      </c>
      <c r="D200" s="3">
        <v>94.625</v>
      </c>
      <c r="E200" s="3">
        <v>83</v>
      </c>
      <c r="F200" s="3"/>
      <c r="G200" s="3">
        <v>14</v>
      </c>
      <c r="H200" s="3"/>
      <c r="I200" s="3">
        <v>100.4875</v>
      </c>
      <c r="J200" s="3"/>
      <c r="K200" s="3" t="s">
        <v>21</v>
      </c>
      <c r="L200" s="3"/>
      <c r="M200" s="3">
        <v>83</v>
      </c>
    </row>
    <row r="201" ht="20" customHeight="1" spans="1:13">
      <c r="A201" s="2">
        <v>200</v>
      </c>
      <c r="B201" s="2" t="s">
        <v>1752</v>
      </c>
      <c r="C201" s="2" t="s">
        <v>1753</v>
      </c>
      <c r="D201" s="3">
        <v>97</v>
      </c>
      <c r="E201" s="3">
        <v>83</v>
      </c>
      <c r="F201" s="3"/>
      <c r="G201" s="3">
        <v>1</v>
      </c>
      <c r="H201" s="3"/>
      <c r="I201" s="3">
        <v>88.2</v>
      </c>
      <c r="J201" s="3"/>
      <c r="K201" s="3" t="s">
        <v>21</v>
      </c>
      <c r="L201" s="3"/>
      <c r="M201" s="3">
        <v>83</v>
      </c>
    </row>
    <row r="202" ht="20" customHeight="1" spans="1:13">
      <c r="A202" s="2">
        <v>201</v>
      </c>
      <c r="B202" s="2">
        <v>20230817119</v>
      </c>
      <c r="C202" s="2" t="s">
        <v>597</v>
      </c>
      <c r="D202" s="3">
        <v>96</v>
      </c>
      <c r="E202" s="3">
        <v>82.92</v>
      </c>
      <c r="F202" s="3">
        <v>83</v>
      </c>
      <c r="G202" s="3">
        <v>2</v>
      </c>
      <c r="H202" s="3">
        <v>1</v>
      </c>
      <c r="I202" s="3">
        <v>87.852</v>
      </c>
      <c r="J202" s="3"/>
      <c r="K202" s="3"/>
      <c r="L202" s="3"/>
      <c r="M202" s="3">
        <v>82.92</v>
      </c>
    </row>
    <row r="203" ht="20" customHeight="1" spans="1:13">
      <c r="A203" s="2">
        <v>202</v>
      </c>
      <c r="B203" s="2" t="s">
        <v>772</v>
      </c>
      <c r="C203" s="2" t="s">
        <v>773</v>
      </c>
      <c r="D203" s="3">
        <v>99</v>
      </c>
      <c r="E203" s="3">
        <v>82.88</v>
      </c>
      <c r="F203" s="3"/>
      <c r="G203" s="3">
        <v>1.5</v>
      </c>
      <c r="H203" s="3"/>
      <c r="I203" s="3">
        <v>89.216</v>
      </c>
      <c r="J203" s="3"/>
      <c r="K203" s="3" t="s">
        <v>21</v>
      </c>
      <c r="L203" s="3"/>
      <c r="M203" s="3">
        <v>82.88</v>
      </c>
    </row>
    <row r="204" ht="20" customHeight="1" spans="1:13">
      <c r="A204" s="2">
        <v>203</v>
      </c>
      <c r="B204" s="2" t="s">
        <v>781</v>
      </c>
      <c r="C204" s="2" t="s">
        <v>782</v>
      </c>
      <c r="D204" s="3">
        <v>99</v>
      </c>
      <c r="E204" s="3">
        <v>82.88</v>
      </c>
      <c r="F204" s="3"/>
      <c r="G204" s="3"/>
      <c r="H204" s="3"/>
      <c r="I204" s="3">
        <v>87.716</v>
      </c>
      <c r="J204" s="3"/>
      <c r="K204" s="3"/>
      <c r="L204" s="3"/>
      <c r="M204" s="3">
        <v>82.88</v>
      </c>
    </row>
    <row r="205" ht="20" customHeight="1" spans="1:13">
      <c r="A205" s="2">
        <v>204</v>
      </c>
      <c r="B205" s="2" t="s">
        <v>1034</v>
      </c>
      <c r="C205" s="2" t="s">
        <v>1035</v>
      </c>
      <c r="D205" s="3">
        <v>97</v>
      </c>
      <c r="E205" s="3">
        <v>82.88</v>
      </c>
      <c r="F205" s="3"/>
      <c r="G205" s="3"/>
      <c r="H205" s="3"/>
      <c r="I205" s="3">
        <v>87.116</v>
      </c>
      <c r="J205" s="3"/>
      <c r="K205" s="3" t="s">
        <v>21</v>
      </c>
      <c r="L205" s="3"/>
      <c r="M205" s="3">
        <v>82.88</v>
      </c>
    </row>
    <row r="206" ht="20" customHeight="1" spans="1:13">
      <c r="A206" s="2">
        <v>205</v>
      </c>
      <c r="B206" s="2">
        <v>20230802108</v>
      </c>
      <c r="C206" s="2" t="s">
        <v>141</v>
      </c>
      <c r="D206" s="3">
        <v>97.82</v>
      </c>
      <c r="E206" s="3">
        <v>82.82</v>
      </c>
      <c r="F206" s="3">
        <v>90.25</v>
      </c>
      <c r="G206" s="3">
        <v>2</v>
      </c>
      <c r="H206" s="3"/>
      <c r="I206" s="3">
        <v>90.063</v>
      </c>
      <c r="J206" s="3"/>
      <c r="K206" s="3"/>
      <c r="L206" s="3"/>
      <c r="M206" s="3">
        <v>82.82</v>
      </c>
    </row>
    <row r="207" ht="20" customHeight="1" spans="1:13">
      <c r="A207" s="2">
        <v>206</v>
      </c>
      <c r="B207" s="2">
        <v>20230802222</v>
      </c>
      <c r="C207" s="2" t="s">
        <v>256</v>
      </c>
      <c r="D207" s="3">
        <v>96.65</v>
      </c>
      <c r="E207" s="3">
        <v>82.82</v>
      </c>
      <c r="F207" s="3">
        <v>80</v>
      </c>
      <c r="G207" s="3"/>
      <c r="H207" s="3"/>
      <c r="I207" s="3">
        <v>86.687</v>
      </c>
      <c r="J207" s="3"/>
      <c r="K207" s="3"/>
      <c r="L207" s="3"/>
      <c r="M207" s="3">
        <v>82.82</v>
      </c>
    </row>
    <row r="208" ht="20" customHeight="1" spans="1:13">
      <c r="A208" s="2">
        <v>207</v>
      </c>
      <c r="B208" s="2" t="s">
        <v>865</v>
      </c>
      <c r="C208" s="2" t="s">
        <v>866</v>
      </c>
      <c r="D208" s="3">
        <v>100</v>
      </c>
      <c r="E208" s="3">
        <v>82.82</v>
      </c>
      <c r="F208" s="3"/>
      <c r="G208" s="3"/>
      <c r="H208" s="3"/>
      <c r="I208" s="3">
        <v>87.974</v>
      </c>
      <c r="J208" s="3"/>
      <c r="K208" s="3" t="s">
        <v>21</v>
      </c>
      <c r="L208" s="3"/>
      <c r="M208" s="3">
        <v>82.82</v>
      </c>
    </row>
    <row r="209" ht="20" customHeight="1" spans="1:13">
      <c r="A209" s="2">
        <v>208</v>
      </c>
      <c r="B209" s="2" t="s">
        <v>1129</v>
      </c>
      <c r="C209" s="2" t="s">
        <v>1130</v>
      </c>
      <c r="D209" s="3">
        <v>99.5</v>
      </c>
      <c r="E209" s="3">
        <v>82.8</v>
      </c>
      <c r="F209" s="3"/>
      <c r="G209" s="3"/>
      <c r="H209" s="3"/>
      <c r="I209" s="3">
        <v>87.81</v>
      </c>
      <c r="J209" s="3"/>
      <c r="K209" s="3" t="s">
        <v>21</v>
      </c>
      <c r="L209" s="3"/>
      <c r="M209" s="3">
        <v>82.8</v>
      </c>
    </row>
    <row r="210" ht="20" customHeight="1" spans="1:13">
      <c r="A210" s="2">
        <v>209</v>
      </c>
      <c r="B210" s="2" t="s">
        <v>1136</v>
      </c>
      <c r="C210" s="2" t="s">
        <v>1137</v>
      </c>
      <c r="D210" s="3">
        <v>97</v>
      </c>
      <c r="E210" s="3">
        <v>82.8</v>
      </c>
      <c r="F210" s="3"/>
      <c r="G210" s="3"/>
      <c r="H210" s="3"/>
      <c r="I210" s="3">
        <v>87.06</v>
      </c>
      <c r="J210" s="3"/>
      <c r="K210" s="3"/>
      <c r="L210" s="3"/>
      <c r="M210" s="3">
        <v>82.8</v>
      </c>
    </row>
    <row r="211" ht="20" customHeight="1" spans="1:13">
      <c r="A211" s="2">
        <v>210</v>
      </c>
      <c r="B211" s="2" t="s">
        <v>1421</v>
      </c>
      <c r="C211" s="2" t="s">
        <v>1422</v>
      </c>
      <c r="D211" s="3">
        <v>100</v>
      </c>
      <c r="E211" s="3">
        <v>82.8</v>
      </c>
      <c r="F211" s="3"/>
      <c r="G211" s="3">
        <v>1</v>
      </c>
      <c r="H211" s="3">
        <v>2</v>
      </c>
      <c r="I211" s="3">
        <v>86.96</v>
      </c>
      <c r="J211" s="3"/>
      <c r="K211" s="3"/>
      <c r="L211" s="3"/>
      <c r="M211" s="3">
        <v>82.8</v>
      </c>
    </row>
    <row r="212" ht="20" customHeight="1" spans="1:13">
      <c r="A212" s="2">
        <v>211</v>
      </c>
      <c r="B212" s="2">
        <v>20230802336</v>
      </c>
      <c r="C212" s="2" t="s">
        <v>326</v>
      </c>
      <c r="D212" s="3">
        <v>97.97</v>
      </c>
      <c r="E212" s="3">
        <v>82.73</v>
      </c>
      <c r="F212" s="3">
        <v>89.25</v>
      </c>
      <c r="G212" s="3">
        <v>11</v>
      </c>
      <c r="H212" s="3">
        <v>0</v>
      </c>
      <c r="I212" s="3">
        <v>98.954</v>
      </c>
      <c r="J212" s="3"/>
      <c r="K212" s="3" t="s">
        <v>21</v>
      </c>
      <c r="L212" s="3"/>
      <c r="M212" s="3">
        <v>82.73</v>
      </c>
    </row>
    <row r="213" ht="20" customHeight="1" spans="1:13">
      <c r="A213" s="2">
        <v>212</v>
      </c>
      <c r="B213" s="2" t="s">
        <v>1312</v>
      </c>
      <c r="C213" s="2" t="s">
        <v>1313</v>
      </c>
      <c r="D213" s="3">
        <v>100</v>
      </c>
      <c r="E213" s="3">
        <v>82.73</v>
      </c>
      <c r="F213" s="3"/>
      <c r="G213" s="3"/>
      <c r="H213" s="3"/>
      <c r="I213" s="3">
        <v>87.911</v>
      </c>
      <c r="J213" s="3"/>
      <c r="K213" s="3" t="s">
        <v>21</v>
      </c>
      <c r="L213" s="3"/>
      <c r="M213" s="3">
        <v>82.73</v>
      </c>
    </row>
    <row r="214" ht="20" customHeight="1" spans="1:13">
      <c r="A214" s="2">
        <v>213</v>
      </c>
      <c r="B214" s="2" t="s">
        <v>1686</v>
      </c>
      <c r="C214" s="2" t="s">
        <v>1687</v>
      </c>
      <c r="D214" s="3">
        <v>98</v>
      </c>
      <c r="E214" s="3">
        <v>82.71</v>
      </c>
      <c r="F214" s="3"/>
      <c r="G214" s="3">
        <v>2.5</v>
      </c>
      <c r="H214" s="3"/>
      <c r="I214" s="3">
        <v>89.797</v>
      </c>
      <c r="J214" s="3"/>
      <c r="K214" s="3"/>
      <c r="L214" s="3"/>
      <c r="M214" s="3">
        <v>82.71</v>
      </c>
    </row>
    <row r="215" ht="20" customHeight="1" spans="1:13">
      <c r="A215" s="2">
        <v>214</v>
      </c>
      <c r="B215" s="2">
        <v>20230802105</v>
      </c>
      <c r="C215" s="2" t="s">
        <v>150</v>
      </c>
      <c r="D215" s="3">
        <v>98.21</v>
      </c>
      <c r="E215" s="3">
        <v>82.64</v>
      </c>
      <c r="F215" s="3">
        <v>85.25</v>
      </c>
      <c r="G215" s="3"/>
      <c r="H215" s="3"/>
      <c r="I215" s="3">
        <v>87.572</v>
      </c>
      <c r="J215" s="3"/>
      <c r="K215" s="3"/>
      <c r="L215" s="3"/>
      <c r="M215" s="3">
        <v>82.64</v>
      </c>
    </row>
    <row r="216" ht="20" customHeight="1" spans="1:13">
      <c r="A216" s="2">
        <v>215</v>
      </c>
      <c r="B216" s="2">
        <v>20230802236</v>
      </c>
      <c r="C216" s="2" t="s">
        <v>237</v>
      </c>
      <c r="D216" s="3">
        <v>96.46</v>
      </c>
      <c r="E216" s="3">
        <v>82.64</v>
      </c>
      <c r="F216" s="3">
        <v>88</v>
      </c>
      <c r="G216" s="3">
        <v>7.5</v>
      </c>
      <c r="H216" s="3"/>
      <c r="I216" s="3">
        <v>94.822</v>
      </c>
      <c r="J216" s="3"/>
      <c r="K216" s="3" t="s">
        <v>21</v>
      </c>
      <c r="L216" s="3"/>
      <c r="M216" s="3">
        <v>82.64</v>
      </c>
    </row>
    <row r="217" ht="20" customHeight="1" spans="1:13">
      <c r="A217" s="2">
        <v>216</v>
      </c>
      <c r="B217" s="2" t="s">
        <v>1019</v>
      </c>
      <c r="C217" s="2" t="s">
        <v>1020</v>
      </c>
      <c r="D217" s="3">
        <v>100</v>
      </c>
      <c r="E217" s="3">
        <v>82.59</v>
      </c>
      <c r="F217" s="3"/>
      <c r="G217" s="3">
        <v>3</v>
      </c>
      <c r="H217" s="3"/>
      <c r="I217" s="3">
        <v>90.813</v>
      </c>
      <c r="J217" s="3"/>
      <c r="K217" s="3"/>
      <c r="L217" s="3" t="s">
        <v>21</v>
      </c>
      <c r="M217" s="3">
        <v>82.59</v>
      </c>
    </row>
    <row r="218" ht="20" customHeight="1" spans="1:13">
      <c r="A218" s="2">
        <v>217</v>
      </c>
      <c r="B218" s="2" t="s">
        <v>754</v>
      </c>
      <c r="C218" s="2" t="s">
        <v>755</v>
      </c>
      <c r="D218" s="3">
        <v>99</v>
      </c>
      <c r="E218" s="3">
        <v>82.53</v>
      </c>
      <c r="F218" s="3"/>
      <c r="G218" s="3">
        <v>10.5</v>
      </c>
      <c r="H218" s="3"/>
      <c r="I218" s="3">
        <v>97.971</v>
      </c>
      <c r="J218" s="3"/>
      <c r="K218" s="3" t="s">
        <v>21</v>
      </c>
      <c r="L218" s="3"/>
      <c r="M218" s="3">
        <v>82.53</v>
      </c>
    </row>
    <row r="219" ht="20" customHeight="1" spans="1:13">
      <c r="A219" s="2">
        <v>218</v>
      </c>
      <c r="B219" s="2" t="s">
        <v>1541</v>
      </c>
      <c r="C219" s="2" t="s">
        <v>1542</v>
      </c>
      <c r="D219" s="3">
        <v>94.725</v>
      </c>
      <c r="E219" s="3">
        <v>82.47</v>
      </c>
      <c r="F219" s="3"/>
      <c r="G219" s="3">
        <v>1</v>
      </c>
      <c r="H219" s="3"/>
      <c r="I219" s="3">
        <v>87.1465</v>
      </c>
      <c r="J219" s="3"/>
      <c r="K219" s="3"/>
      <c r="L219" s="3"/>
      <c r="M219" s="3">
        <v>82.47</v>
      </c>
    </row>
    <row r="220" ht="20" customHeight="1" spans="1:13">
      <c r="A220" s="2">
        <v>219</v>
      </c>
      <c r="B220" s="2">
        <v>20230801105</v>
      </c>
      <c r="C220" s="2" t="s">
        <v>52</v>
      </c>
      <c r="D220" s="3">
        <v>93.89</v>
      </c>
      <c r="E220" s="3">
        <v>82.45</v>
      </c>
      <c r="F220" s="3">
        <v>86</v>
      </c>
      <c r="G220" s="3">
        <v>0</v>
      </c>
      <c r="H220" s="3">
        <v>0</v>
      </c>
      <c r="I220" s="3">
        <v>86.237</v>
      </c>
      <c r="J220" s="3"/>
      <c r="K220" s="3"/>
      <c r="L220" s="3" t="s">
        <v>21</v>
      </c>
      <c r="M220" s="3">
        <v>82.45</v>
      </c>
    </row>
    <row r="221" ht="20" customHeight="1" spans="1:13">
      <c r="A221" s="2">
        <v>220</v>
      </c>
      <c r="B221" s="2" t="s">
        <v>1794</v>
      </c>
      <c r="C221" s="2" t="s">
        <v>1795</v>
      </c>
      <c r="D221" s="3">
        <v>92</v>
      </c>
      <c r="E221" s="3">
        <v>82.43</v>
      </c>
      <c r="F221" s="3"/>
      <c r="G221" s="3"/>
      <c r="H221" s="3"/>
      <c r="I221" s="3">
        <v>85.301</v>
      </c>
      <c r="J221" s="3"/>
      <c r="K221" s="3" t="s">
        <v>21</v>
      </c>
      <c r="L221" s="3"/>
      <c r="M221" s="3">
        <v>82.43</v>
      </c>
    </row>
    <row r="222" ht="20" customHeight="1" spans="1:13">
      <c r="A222" s="2">
        <v>221</v>
      </c>
      <c r="B222" s="2" t="s">
        <v>1677</v>
      </c>
      <c r="C222" s="2" t="s">
        <v>1679</v>
      </c>
      <c r="D222" s="3">
        <v>99</v>
      </c>
      <c r="E222" s="3">
        <v>82.35</v>
      </c>
      <c r="F222" s="3"/>
      <c r="G222" s="3">
        <v>3</v>
      </c>
      <c r="H222" s="3"/>
      <c r="I222" s="3">
        <v>90.345</v>
      </c>
      <c r="J222" s="3"/>
      <c r="K222" s="3"/>
      <c r="L222" s="3" t="s">
        <v>21</v>
      </c>
      <c r="M222" s="3">
        <v>82.35</v>
      </c>
    </row>
    <row r="223" ht="20" customHeight="1" spans="1:13">
      <c r="A223" s="2">
        <v>222</v>
      </c>
      <c r="B223" s="2">
        <v>20230802234</v>
      </c>
      <c r="C223" s="2" t="s">
        <v>252</v>
      </c>
      <c r="D223" s="3">
        <v>97</v>
      </c>
      <c r="E223" s="3">
        <v>82.27</v>
      </c>
      <c r="F223" s="3">
        <v>84.25</v>
      </c>
      <c r="G223" s="3"/>
      <c r="H223" s="3"/>
      <c r="I223" s="3">
        <v>86.887</v>
      </c>
      <c r="J223" s="3"/>
      <c r="K223" s="3" t="s">
        <v>21</v>
      </c>
      <c r="L223" s="3"/>
      <c r="M223" s="3">
        <v>82.27</v>
      </c>
    </row>
    <row r="224" ht="20" customHeight="1" spans="1:13">
      <c r="A224" s="2">
        <v>223</v>
      </c>
      <c r="B224" s="2">
        <v>20230805212</v>
      </c>
      <c r="C224" s="2" t="s">
        <v>427</v>
      </c>
      <c r="D224" s="3">
        <v>92.945945945946</v>
      </c>
      <c r="E224" s="3">
        <v>82.2727272727273</v>
      </c>
      <c r="F224" s="3">
        <v>87.75</v>
      </c>
      <c r="G224" s="3"/>
      <c r="H224" s="3"/>
      <c r="I224" s="3">
        <v>86.0224201474202</v>
      </c>
      <c r="J224" s="3"/>
      <c r="K224" s="3"/>
      <c r="L224" s="3"/>
      <c r="M224" s="3">
        <v>82.27</v>
      </c>
    </row>
    <row r="225" ht="20" customHeight="1" spans="1:13">
      <c r="A225" s="2">
        <v>224</v>
      </c>
      <c r="B225" s="2" t="s">
        <v>1314</v>
      </c>
      <c r="C225" s="2" t="s">
        <v>1315</v>
      </c>
      <c r="D225" s="3">
        <v>98</v>
      </c>
      <c r="E225" s="3">
        <v>82.2</v>
      </c>
      <c r="F225" s="3"/>
      <c r="G225" s="3"/>
      <c r="H225" s="3"/>
      <c r="I225" s="3">
        <v>86.94</v>
      </c>
      <c r="J225" s="3"/>
      <c r="K225" s="3" t="s">
        <v>21</v>
      </c>
      <c r="L225" s="3"/>
      <c r="M225" s="3">
        <v>82.2</v>
      </c>
    </row>
    <row r="226" ht="20" customHeight="1" spans="1:13">
      <c r="A226" s="2">
        <v>225</v>
      </c>
      <c r="B226" s="2" t="s">
        <v>1123</v>
      </c>
      <c r="C226" s="2" t="s">
        <v>1124</v>
      </c>
      <c r="D226" s="3">
        <v>97.5</v>
      </c>
      <c r="E226" s="3">
        <v>82.13</v>
      </c>
      <c r="F226" s="3"/>
      <c r="G226" s="3">
        <v>3</v>
      </c>
      <c r="H226" s="3"/>
      <c r="I226" s="3">
        <v>89.741</v>
      </c>
      <c r="J226" s="3"/>
      <c r="K226" s="3"/>
      <c r="L226" s="3"/>
      <c r="M226" s="3">
        <v>82.13</v>
      </c>
    </row>
    <row r="227" ht="20" customHeight="1" spans="1:13">
      <c r="A227" s="2">
        <v>226</v>
      </c>
      <c r="B227" s="2" t="s">
        <v>1523</v>
      </c>
      <c r="C227" s="2" t="s">
        <v>1524</v>
      </c>
      <c r="D227" s="3">
        <v>95.125</v>
      </c>
      <c r="E227" s="3">
        <v>82.13</v>
      </c>
      <c r="F227" s="3"/>
      <c r="G227" s="3">
        <v>5</v>
      </c>
      <c r="H227" s="3"/>
      <c r="I227" s="3">
        <v>91.0285</v>
      </c>
      <c r="J227" s="3"/>
      <c r="K227" s="3" t="s">
        <v>21</v>
      </c>
      <c r="L227" s="3"/>
      <c r="M227" s="3">
        <v>82.13</v>
      </c>
    </row>
    <row r="228" ht="20" customHeight="1" spans="1:13">
      <c r="A228" s="2">
        <v>227</v>
      </c>
      <c r="B228" s="2" t="s">
        <v>783</v>
      </c>
      <c r="C228" s="2" t="s">
        <v>784</v>
      </c>
      <c r="D228" s="3">
        <v>99</v>
      </c>
      <c r="E228" s="3">
        <v>82.12</v>
      </c>
      <c r="F228" s="3"/>
      <c r="G228" s="3"/>
      <c r="H228" s="3"/>
      <c r="I228" s="3">
        <v>87.184</v>
      </c>
      <c r="J228" s="3"/>
      <c r="K228" s="3"/>
      <c r="L228" s="3"/>
      <c r="M228" s="3">
        <v>82.12</v>
      </c>
    </row>
    <row r="229" ht="20" customHeight="1" spans="1:13">
      <c r="A229" s="2">
        <v>228</v>
      </c>
      <c r="B229" s="2">
        <v>20230802328</v>
      </c>
      <c r="C229" s="2" t="s">
        <v>331</v>
      </c>
      <c r="D229" s="3">
        <v>97.72</v>
      </c>
      <c r="E229" s="3">
        <v>82.09</v>
      </c>
      <c r="F229" s="3">
        <v>84.25</v>
      </c>
      <c r="G229" s="3">
        <v>0</v>
      </c>
      <c r="H229" s="3">
        <v>0</v>
      </c>
      <c r="I229" s="3">
        <v>86.995</v>
      </c>
      <c r="J229" s="3"/>
      <c r="K229" s="3"/>
      <c r="L229" s="3"/>
      <c r="M229" s="3">
        <v>82.09</v>
      </c>
    </row>
    <row r="230" ht="20" customHeight="1" spans="1:13">
      <c r="A230" s="2">
        <v>229</v>
      </c>
      <c r="B230" s="2" t="s">
        <v>1607</v>
      </c>
      <c r="C230" s="2" t="s">
        <v>1608</v>
      </c>
      <c r="D230" s="3">
        <v>95.1</v>
      </c>
      <c r="E230" s="3">
        <v>82.07</v>
      </c>
      <c r="F230" s="3"/>
      <c r="G230" s="3"/>
      <c r="H230" s="3"/>
      <c r="I230" s="3">
        <v>85.979</v>
      </c>
      <c r="J230" s="3"/>
      <c r="K230" s="3" t="s">
        <v>21</v>
      </c>
      <c r="L230" s="3"/>
      <c r="M230" s="3">
        <v>82.07</v>
      </c>
    </row>
    <row r="231" ht="20" customHeight="1" spans="1:13">
      <c r="A231" s="2">
        <v>230</v>
      </c>
      <c r="B231" s="2" t="s">
        <v>1039</v>
      </c>
      <c r="C231" s="2" t="s">
        <v>1040</v>
      </c>
      <c r="D231" s="3">
        <v>95</v>
      </c>
      <c r="E231" s="3">
        <v>82.06</v>
      </c>
      <c r="F231" s="3"/>
      <c r="G231" s="3"/>
      <c r="H231" s="3"/>
      <c r="I231" s="3">
        <v>85.942</v>
      </c>
      <c r="J231" s="3"/>
      <c r="K231" s="3" t="s">
        <v>21</v>
      </c>
      <c r="L231" s="3"/>
      <c r="M231" s="3">
        <v>82.06</v>
      </c>
    </row>
    <row r="232" ht="20" customHeight="1" spans="1:13">
      <c r="A232" s="2">
        <v>231</v>
      </c>
      <c r="B232" s="2" t="s">
        <v>946</v>
      </c>
      <c r="C232" s="2" t="s">
        <v>947</v>
      </c>
      <c r="D232" s="3">
        <v>95.1471</v>
      </c>
      <c r="E232" s="3">
        <v>82</v>
      </c>
      <c r="F232" s="3"/>
      <c r="G232" s="3">
        <v>0</v>
      </c>
      <c r="H232" s="3">
        <v>0</v>
      </c>
      <c r="I232" s="3">
        <v>85.94413</v>
      </c>
      <c r="J232" s="3"/>
      <c r="K232" s="3" t="s">
        <v>21</v>
      </c>
      <c r="L232" s="3"/>
      <c r="M232" s="3">
        <v>82</v>
      </c>
    </row>
    <row r="233" ht="20" customHeight="1" spans="1:13">
      <c r="A233" s="2">
        <v>232</v>
      </c>
      <c r="B233" s="2" t="s">
        <v>1228</v>
      </c>
      <c r="C233" s="2" t="s">
        <v>1229</v>
      </c>
      <c r="D233" s="3">
        <v>86.72</v>
      </c>
      <c r="E233" s="3">
        <v>82</v>
      </c>
      <c r="F233" s="3"/>
      <c r="G233" s="3"/>
      <c r="H233" s="3"/>
      <c r="I233" s="3">
        <v>83.416</v>
      </c>
      <c r="J233" s="3"/>
      <c r="K233" s="3"/>
      <c r="L233" s="3"/>
      <c r="M233" s="3">
        <v>82</v>
      </c>
    </row>
    <row r="234" ht="20" customHeight="1" spans="1:13">
      <c r="A234" s="2">
        <v>233</v>
      </c>
      <c r="B234" s="2" t="s">
        <v>1400</v>
      </c>
      <c r="C234" s="2" t="s">
        <v>1401</v>
      </c>
      <c r="D234" s="3">
        <v>100</v>
      </c>
      <c r="E234" s="3">
        <v>82</v>
      </c>
      <c r="F234" s="3"/>
      <c r="G234" s="3">
        <v>9.5</v>
      </c>
      <c r="H234" s="3"/>
      <c r="I234" s="3">
        <v>96.9</v>
      </c>
      <c r="J234" s="3"/>
      <c r="K234" s="3"/>
      <c r="L234" s="3" t="s">
        <v>21</v>
      </c>
      <c r="M234" s="3">
        <v>82</v>
      </c>
    </row>
    <row r="235" ht="20" customHeight="1" spans="1:13">
      <c r="A235" s="2">
        <v>234</v>
      </c>
      <c r="B235" s="2" t="s">
        <v>929</v>
      </c>
      <c r="C235" s="2" t="s">
        <v>930</v>
      </c>
      <c r="D235" s="3">
        <v>95.3824</v>
      </c>
      <c r="E235" s="3">
        <v>81.94</v>
      </c>
      <c r="F235" s="3"/>
      <c r="G235" s="3">
        <v>2.5</v>
      </c>
      <c r="H235" s="3">
        <v>0</v>
      </c>
      <c r="I235" s="3">
        <v>88.47272</v>
      </c>
      <c r="J235" s="3"/>
      <c r="K235" s="3"/>
      <c r="L235" s="3" t="s">
        <v>21</v>
      </c>
      <c r="M235" s="3">
        <v>81.94</v>
      </c>
    </row>
    <row r="236" ht="20" customHeight="1" spans="1:13">
      <c r="A236" s="2">
        <v>235</v>
      </c>
      <c r="B236" s="2" t="s">
        <v>944</v>
      </c>
      <c r="C236" s="2" t="s">
        <v>945</v>
      </c>
      <c r="D236" s="3">
        <v>95.3529</v>
      </c>
      <c r="E236" s="3">
        <v>81.94</v>
      </c>
      <c r="F236" s="3"/>
      <c r="G236" s="3">
        <v>0</v>
      </c>
      <c r="H236" s="3">
        <v>0</v>
      </c>
      <c r="I236" s="3">
        <v>85.96387</v>
      </c>
      <c r="J236" s="3"/>
      <c r="K236" s="3" t="s">
        <v>21</v>
      </c>
      <c r="L236" s="3"/>
      <c r="M236" s="3">
        <v>81.94</v>
      </c>
    </row>
    <row r="237" ht="20" customHeight="1" spans="1:13">
      <c r="A237" s="2">
        <v>236</v>
      </c>
      <c r="B237" s="2" t="s">
        <v>1042</v>
      </c>
      <c r="C237" s="2" t="s">
        <v>1043</v>
      </c>
      <c r="D237" s="3">
        <v>95</v>
      </c>
      <c r="E237" s="3">
        <v>81.94</v>
      </c>
      <c r="F237" s="3"/>
      <c r="G237" s="3"/>
      <c r="H237" s="3"/>
      <c r="I237" s="3">
        <v>85.858</v>
      </c>
      <c r="J237" s="3"/>
      <c r="K237" s="3"/>
      <c r="L237" s="3"/>
      <c r="M237" s="3">
        <v>81.94</v>
      </c>
    </row>
    <row r="238" ht="20" customHeight="1" spans="1:13">
      <c r="A238" s="2">
        <v>237</v>
      </c>
      <c r="B238" s="2" t="s">
        <v>1297</v>
      </c>
      <c r="C238" s="2" t="s">
        <v>1298</v>
      </c>
      <c r="D238" s="3">
        <v>99</v>
      </c>
      <c r="E238" s="3">
        <v>81.93</v>
      </c>
      <c r="F238" s="3"/>
      <c r="G238" s="3">
        <v>6</v>
      </c>
      <c r="H238" s="3"/>
      <c r="I238" s="3">
        <v>93.051</v>
      </c>
      <c r="J238" s="3"/>
      <c r="K238" s="3"/>
      <c r="L238" s="3"/>
      <c r="M238" s="3">
        <v>81.93</v>
      </c>
    </row>
    <row r="239" ht="20" customHeight="1" spans="1:13">
      <c r="A239" s="2">
        <v>238</v>
      </c>
      <c r="B239" s="2">
        <v>20230817129</v>
      </c>
      <c r="C239" s="2" t="s">
        <v>609</v>
      </c>
      <c r="D239" s="3">
        <v>95</v>
      </c>
      <c r="E239" s="3">
        <v>81.92</v>
      </c>
      <c r="F239" s="3">
        <v>83</v>
      </c>
      <c r="G239" s="3">
        <v>1</v>
      </c>
      <c r="H239" s="3">
        <v>2</v>
      </c>
      <c r="I239" s="3">
        <v>84.952</v>
      </c>
      <c r="J239" s="3"/>
      <c r="K239" s="3"/>
      <c r="L239" s="3"/>
      <c r="M239" s="3">
        <v>81.92</v>
      </c>
    </row>
    <row r="240" ht="20" customHeight="1" spans="1:13">
      <c r="A240" s="2">
        <v>239</v>
      </c>
      <c r="B240" s="2">
        <v>20230805322</v>
      </c>
      <c r="C240" s="2" t="s">
        <v>498</v>
      </c>
      <c r="D240" s="3">
        <v>98.5</v>
      </c>
      <c r="E240" s="3">
        <v>81.91</v>
      </c>
      <c r="F240" s="3">
        <v>85</v>
      </c>
      <c r="G240" s="3">
        <v>2</v>
      </c>
      <c r="H240" s="3"/>
      <c r="I240" s="3">
        <v>89.196</v>
      </c>
      <c r="J240" s="3"/>
      <c r="K240" s="3"/>
      <c r="L240" s="3" t="s">
        <v>21</v>
      </c>
      <c r="M240" s="3">
        <v>81.91</v>
      </c>
    </row>
    <row r="241" ht="20" customHeight="1" spans="1:13">
      <c r="A241" s="2">
        <v>240</v>
      </c>
      <c r="B241" s="2" t="s">
        <v>1218</v>
      </c>
      <c r="C241" s="2" t="s">
        <v>1219</v>
      </c>
      <c r="D241" s="3">
        <v>89.56</v>
      </c>
      <c r="E241" s="3">
        <v>81.87</v>
      </c>
      <c r="F241" s="3"/>
      <c r="G241" s="3">
        <v>1</v>
      </c>
      <c r="H241" s="3"/>
      <c r="I241" s="3">
        <v>85.177</v>
      </c>
      <c r="J241" s="3"/>
      <c r="K241" s="3"/>
      <c r="L241" s="3"/>
      <c r="M241" s="3">
        <v>81.87</v>
      </c>
    </row>
    <row r="242" ht="20" customHeight="1" spans="1:13">
      <c r="A242" s="2">
        <v>241</v>
      </c>
      <c r="B242" s="2" t="s">
        <v>1414</v>
      </c>
      <c r="C242" s="2" t="s">
        <v>1415</v>
      </c>
      <c r="D242" s="3">
        <v>100</v>
      </c>
      <c r="E242" s="3">
        <v>81.87</v>
      </c>
      <c r="F242" s="3"/>
      <c r="G242" s="3">
        <v>1</v>
      </c>
      <c r="H242" s="3"/>
      <c r="I242" s="3">
        <v>88.309</v>
      </c>
      <c r="J242" s="3"/>
      <c r="K242" s="3" t="s">
        <v>21</v>
      </c>
      <c r="L242" s="3"/>
      <c r="M242" s="3">
        <v>81.87</v>
      </c>
    </row>
    <row r="243" ht="20" customHeight="1" spans="1:13">
      <c r="A243" s="2">
        <v>242</v>
      </c>
      <c r="B243" s="2">
        <v>20230801116</v>
      </c>
      <c r="C243" s="2" t="s">
        <v>46</v>
      </c>
      <c r="D243" s="3">
        <v>96.71</v>
      </c>
      <c r="E243" s="3">
        <v>81.82</v>
      </c>
      <c r="F243" s="3">
        <v>86.5</v>
      </c>
      <c r="G243" s="3">
        <v>0</v>
      </c>
      <c r="H243" s="3">
        <v>0</v>
      </c>
      <c r="I243" s="3">
        <v>86.755</v>
      </c>
      <c r="J243" s="3"/>
      <c r="K243" s="3" t="s">
        <v>21</v>
      </c>
      <c r="L243" s="3"/>
      <c r="M243" s="3">
        <v>81.82</v>
      </c>
    </row>
    <row r="244" ht="20" customHeight="1" spans="1:13">
      <c r="A244" s="2">
        <v>243</v>
      </c>
      <c r="B244" s="2">
        <v>20230801118</v>
      </c>
      <c r="C244" s="2" t="s">
        <v>55</v>
      </c>
      <c r="D244" s="3">
        <v>95.14</v>
      </c>
      <c r="E244" s="3">
        <v>81.82</v>
      </c>
      <c r="F244" s="3">
        <v>83</v>
      </c>
      <c r="G244" s="3">
        <v>0</v>
      </c>
      <c r="H244" s="3">
        <v>0</v>
      </c>
      <c r="I244" s="3">
        <v>85.934</v>
      </c>
      <c r="J244" s="3"/>
      <c r="K244" s="3"/>
      <c r="L244" s="3"/>
      <c r="M244" s="3">
        <v>81.82</v>
      </c>
    </row>
    <row r="245" ht="20" customHeight="1" spans="1:13">
      <c r="A245" s="2">
        <v>244</v>
      </c>
      <c r="B245" s="2" t="s">
        <v>949</v>
      </c>
      <c r="C245" s="2" t="s">
        <v>950</v>
      </c>
      <c r="D245" s="3">
        <v>95.3529</v>
      </c>
      <c r="E245" s="3">
        <v>81.82</v>
      </c>
      <c r="F245" s="3"/>
      <c r="G245" s="3">
        <v>0</v>
      </c>
      <c r="H245" s="3">
        <v>0</v>
      </c>
      <c r="I245" s="3">
        <v>85.87987</v>
      </c>
      <c r="J245" s="3"/>
      <c r="K245" s="3"/>
      <c r="L245" s="3"/>
      <c r="M245" s="3">
        <v>81.82</v>
      </c>
    </row>
    <row r="246" ht="20" customHeight="1" spans="1:13">
      <c r="A246" s="2">
        <v>245</v>
      </c>
      <c r="B246" s="2" t="s">
        <v>1417</v>
      </c>
      <c r="C246" s="2" t="s">
        <v>1418</v>
      </c>
      <c r="D246" s="3">
        <v>100</v>
      </c>
      <c r="E246" s="3">
        <v>81.8</v>
      </c>
      <c r="F246" s="3"/>
      <c r="G246" s="3"/>
      <c r="H246" s="3"/>
      <c r="I246" s="3">
        <v>87.26</v>
      </c>
      <c r="J246" s="3"/>
      <c r="K246" s="3" t="s">
        <v>21</v>
      </c>
      <c r="L246" s="3"/>
      <c r="M246" s="3">
        <v>81.8</v>
      </c>
    </row>
    <row r="247" ht="20" customHeight="1" spans="1:13">
      <c r="A247" s="2">
        <v>246</v>
      </c>
      <c r="B247" s="2">
        <v>20230805301</v>
      </c>
      <c r="C247" s="2" t="s">
        <v>480</v>
      </c>
      <c r="D247" s="3">
        <v>98.87</v>
      </c>
      <c r="E247" s="3">
        <v>81.73</v>
      </c>
      <c r="F247" s="3">
        <v>83</v>
      </c>
      <c r="G247" s="3">
        <v>9.5</v>
      </c>
      <c r="H247" s="3"/>
      <c r="I247" s="3">
        <v>96.499</v>
      </c>
      <c r="J247" s="3"/>
      <c r="K247" s="3" t="s">
        <v>21</v>
      </c>
      <c r="L247" s="3"/>
      <c r="M247" s="3">
        <v>81.73</v>
      </c>
    </row>
    <row r="248" ht="20" customHeight="1" spans="1:13">
      <c r="A248" s="2">
        <v>247</v>
      </c>
      <c r="B248" s="2" t="s">
        <v>786</v>
      </c>
      <c r="C248" s="2" t="s">
        <v>787</v>
      </c>
      <c r="D248" s="3">
        <v>98</v>
      </c>
      <c r="E248" s="3">
        <v>81.65</v>
      </c>
      <c r="F248" s="3"/>
      <c r="G248" s="3"/>
      <c r="H248" s="3"/>
      <c r="I248" s="3">
        <v>86.555</v>
      </c>
      <c r="J248" s="3"/>
      <c r="K248" s="3"/>
      <c r="L248" s="3"/>
      <c r="M248" s="3">
        <v>81.65</v>
      </c>
    </row>
    <row r="249" ht="20" customHeight="1" spans="1:13">
      <c r="A249" s="2">
        <v>248</v>
      </c>
      <c r="B249" s="2" t="s">
        <v>859</v>
      </c>
      <c r="C249" s="2" t="s">
        <v>860</v>
      </c>
      <c r="D249" s="3">
        <v>100</v>
      </c>
      <c r="E249" s="3">
        <v>81.65</v>
      </c>
      <c r="F249" s="3"/>
      <c r="G249" s="3">
        <v>2</v>
      </c>
      <c r="H249" s="3"/>
      <c r="I249" s="3">
        <v>89.155</v>
      </c>
      <c r="J249" s="3"/>
      <c r="K249" s="3"/>
      <c r="L249" s="3" t="s">
        <v>21</v>
      </c>
      <c r="M249" s="3">
        <v>81.65</v>
      </c>
    </row>
    <row r="250" ht="20" customHeight="1" spans="1:13">
      <c r="A250" s="2">
        <v>249</v>
      </c>
      <c r="B250" s="2" t="s">
        <v>1140</v>
      </c>
      <c r="C250" s="2" t="s">
        <v>1141</v>
      </c>
      <c r="D250" s="3">
        <v>98.5</v>
      </c>
      <c r="E250" s="3">
        <v>81.6</v>
      </c>
      <c r="F250" s="3"/>
      <c r="G250" s="3"/>
      <c r="H250" s="3"/>
      <c r="I250" s="3">
        <v>86.67</v>
      </c>
      <c r="J250" s="3"/>
      <c r="K250" s="3"/>
      <c r="L250" s="3"/>
      <c r="M250" s="3">
        <v>81.6</v>
      </c>
    </row>
    <row r="251" ht="20" customHeight="1" spans="1:13">
      <c r="A251" s="2">
        <v>250</v>
      </c>
      <c r="B251" s="2" t="s">
        <v>1610</v>
      </c>
      <c r="C251" s="2" t="s">
        <v>1611</v>
      </c>
      <c r="D251" s="3">
        <v>95.3</v>
      </c>
      <c r="E251" s="3">
        <v>81.6</v>
      </c>
      <c r="F251" s="3"/>
      <c r="G251" s="3"/>
      <c r="H251" s="3"/>
      <c r="I251" s="3">
        <v>85.71</v>
      </c>
      <c r="J251" s="3"/>
      <c r="K251" s="3"/>
      <c r="L251" s="3" t="s">
        <v>21</v>
      </c>
      <c r="M251" s="3">
        <v>81.6</v>
      </c>
    </row>
    <row r="252" ht="20" customHeight="1" spans="1:13">
      <c r="A252" s="2">
        <v>251</v>
      </c>
      <c r="B252" s="2">
        <v>20230805303</v>
      </c>
      <c r="C252" s="2" t="s">
        <v>488</v>
      </c>
      <c r="D252" s="3">
        <v>98.87</v>
      </c>
      <c r="E252" s="3">
        <v>81.55</v>
      </c>
      <c r="F252" s="3">
        <v>78.25</v>
      </c>
      <c r="G252" s="3">
        <v>8</v>
      </c>
      <c r="H252" s="3">
        <v>4</v>
      </c>
      <c r="I252" s="3">
        <v>90.416</v>
      </c>
      <c r="J252" s="3"/>
      <c r="K252" s="3"/>
      <c r="L252" s="3"/>
      <c r="M252" s="3">
        <v>81.55</v>
      </c>
    </row>
    <row r="253" ht="20" customHeight="1" spans="1:13">
      <c r="A253" s="2">
        <v>252</v>
      </c>
      <c r="B253" s="2" t="s">
        <v>1519</v>
      </c>
      <c r="C253" s="2" t="s">
        <v>1520</v>
      </c>
      <c r="D253" s="3">
        <v>95.25</v>
      </c>
      <c r="E253" s="3">
        <v>81.53</v>
      </c>
      <c r="F253" s="3"/>
      <c r="G253" s="3">
        <v>7</v>
      </c>
      <c r="H253" s="3"/>
      <c r="I253" s="3">
        <v>92.646</v>
      </c>
      <c r="J253" s="3"/>
      <c r="K253" s="3"/>
      <c r="L253" s="3" t="s">
        <v>21</v>
      </c>
      <c r="M253" s="3">
        <v>81.53</v>
      </c>
    </row>
    <row r="254" ht="20" customHeight="1" spans="1:13">
      <c r="A254" s="2">
        <v>253</v>
      </c>
      <c r="B254" s="2">
        <v>20230817114</v>
      </c>
      <c r="C254" s="2" t="s">
        <v>582</v>
      </c>
      <c r="D254" s="3">
        <v>98</v>
      </c>
      <c r="E254" s="3">
        <v>81.5</v>
      </c>
      <c r="F254" s="3">
        <v>82.25</v>
      </c>
      <c r="G254" s="3">
        <v>14</v>
      </c>
      <c r="H254" s="3"/>
      <c r="I254" s="3">
        <v>100.525</v>
      </c>
      <c r="J254" s="3"/>
      <c r="K254" s="3" t="s">
        <v>21</v>
      </c>
      <c r="L254" s="3"/>
      <c r="M254" s="3">
        <v>81.5</v>
      </c>
    </row>
    <row r="255" ht="20" customHeight="1" spans="1:13">
      <c r="A255" s="2">
        <v>254</v>
      </c>
      <c r="B255" s="2" t="s">
        <v>873</v>
      </c>
      <c r="C255" s="2" t="s">
        <v>874</v>
      </c>
      <c r="D255" s="3">
        <v>98</v>
      </c>
      <c r="E255" s="3">
        <v>81.47</v>
      </c>
      <c r="F255" s="3"/>
      <c r="G255" s="3">
        <v>1.5</v>
      </c>
      <c r="H255" s="3">
        <v>2</v>
      </c>
      <c r="I255" s="3">
        <v>85.929</v>
      </c>
      <c r="J255" s="3"/>
      <c r="K255" s="3"/>
      <c r="L255" s="3"/>
      <c r="M255" s="3">
        <v>81.47</v>
      </c>
    </row>
    <row r="256" ht="20" customHeight="1" spans="1:13">
      <c r="A256" s="2">
        <v>255</v>
      </c>
      <c r="B256" s="2" t="s">
        <v>1208</v>
      </c>
      <c r="C256" s="2" t="s">
        <v>1209</v>
      </c>
      <c r="D256" s="3">
        <v>93.76</v>
      </c>
      <c r="E256" s="3">
        <v>81.47</v>
      </c>
      <c r="F256" s="3"/>
      <c r="G256" s="3">
        <v>2</v>
      </c>
      <c r="H256" s="3"/>
      <c r="I256" s="3">
        <v>87.157</v>
      </c>
      <c r="J256" s="3"/>
      <c r="K256" s="3"/>
      <c r="L256" s="3" t="s">
        <v>21</v>
      </c>
      <c r="M256" s="3">
        <v>81.47</v>
      </c>
    </row>
    <row r="257" ht="20" customHeight="1" spans="1:13">
      <c r="A257" s="2">
        <v>256</v>
      </c>
      <c r="B257" s="2" t="s">
        <v>1798</v>
      </c>
      <c r="C257" s="2" t="s">
        <v>1799</v>
      </c>
      <c r="D257" s="3">
        <v>90</v>
      </c>
      <c r="E257" s="3">
        <v>81.43</v>
      </c>
      <c r="F257" s="3"/>
      <c r="G257" s="3">
        <v>1</v>
      </c>
      <c r="H257" s="3"/>
      <c r="I257" s="3">
        <v>85.001</v>
      </c>
      <c r="J257" s="3"/>
      <c r="K257" s="3" t="s">
        <v>21</v>
      </c>
      <c r="L257" s="3"/>
      <c r="M257" s="3">
        <v>81.43</v>
      </c>
    </row>
    <row r="258" ht="20" customHeight="1" spans="1:13">
      <c r="A258" s="2">
        <v>257</v>
      </c>
      <c r="B258" s="2" t="s">
        <v>1132</v>
      </c>
      <c r="C258" s="2" t="s">
        <v>1133</v>
      </c>
      <c r="D258" s="3">
        <v>95.5</v>
      </c>
      <c r="E258" s="3">
        <v>81.4</v>
      </c>
      <c r="F258" s="3"/>
      <c r="G258" s="3">
        <v>2</v>
      </c>
      <c r="H258" s="3"/>
      <c r="I258" s="3">
        <v>87.63</v>
      </c>
      <c r="J258" s="3"/>
      <c r="K258" s="3"/>
      <c r="L258" s="3" t="s">
        <v>21</v>
      </c>
      <c r="M258" s="3">
        <v>81.4</v>
      </c>
    </row>
    <row r="259" ht="20" customHeight="1" spans="1:13">
      <c r="A259" s="2">
        <v>258</v>
      </c>
      <c r="B259" s="2" t="s">
        <v>1220</v>
      </c>
      <c r="C259" s="2" t="s">
        <v>1221</v>
      </c>
      <c r="D259" s="3">
        <v>90.04</v>
      </c>
      <c r="E259" s="3">
        <v>81.4</v>
      </c>
      <c r="F259" s="3"/>
      <c r="G259" s="3">
        <v>1</v>
      </c>
      <c r="H259" s="3"/>
      <c r="I259" s="3">
        <v>84.992</v>
      </c>
      <c r="J259" s="3"/>
      <c r="K259" s="3"/>
      <c r="L259" s="3" t="s">
        <v>21</v>
      </c>
      <c r="M259" s="3">
        <v>81.4</v>
      </c>
    </row>
    <row r="260" ht="20" customHeight="1" spans="1:13">
      <c r="A260" s="2">
        <v>259</v>
      </c>
      <c r="B260" s="2">
        <v>20230805210</v>
      </c>
      <c r="C260" s="2" t="s">
        <v>423</v>
      </c>
      <c r="D260" s="3">
        <v>92.5135135135135</v>
      </c>
      <c r="E260" s="3">
        <v>81.3636363636364</v>
      </c>
      <c r="F260" s="3">
        <v>90.5</v>
      </c>
      <c r="G260" s="3">
        <v>1</v>
      </c>
      <c r="H260" s="3"/>
      <c r="I260" s="3">
        <v>86.6222358722359</v>
      </c>
      <c r="J260" s="3"/>
      <c r="K260" s="3"/>
      <c r="L260" s="3"/>
      <c r="M260" s="3">
        <v>81.36</v>
      </c>
    </row>
    <row r="261" ht="20" customHeight="1" spans="1:13">
      <c r="A261" s="2">
        <v>260</v>
      </c>
      <c r="B261" s="2" t="s">
        <v>1224</v>
      </c>
      <c r="C261" s="2" t="s">
        <v>1225</v>
      </c>
      <c r="D261" s="3">
        <v>91.35</v>
      </c>
      <c r="E261" s="3">
        <v>81.33</v>
      </c>
      <c r="F261" s="3"/>
      <c r="G261" s="3"/>
      <c r="H261" s="3"/>
      <c r="I261" s="3">
        <v>84.336</v>
      </c>
      <c r="J261" s="3"/>
      <c r="K261" s="3"/>
      <c r="L261" s="3"/>
      <c r="M261" s="3">
        <v>81.33</v>
      </c>
    </row>
    <row r="262" ht="20" customHeight="1" spans="1:13">
      <c r="A262" s="2">
        <v>261</v>
      </c>
      <c r="B262" s="2" t="s">
        <v>1792</v>
      </c>
      <c r="C262" s="2" t="s">
        <v>1793</v>
      </c>
      <c r="D262" s="3">
        <v>93</v>
      </c>
      <c r="E262" s="3">
        <v>81.33</v>
      </c>
      <c r="F262" s="3"/>
      <c r="G262" s="3">
        <v>2</v>
      </c>
      <c r="H262" s="3"/>
      <c r="I262" s="3">
        <v>86.831</v>
      </c>
      <c r="J262" s="3"/>
      <c r="K262" s="3" t="s">
        <v>21</v>
      </c>
      <c r="L262" s="3"/>
      <c r="M262" s="3">
        <v>81.33</v>
      </c>
    </row>
    <row r="263" ht="20" customHeight="1" spans="1:13">
      <c r="A263" s="2">
        <v>262</v>
      </c>
      <c r="B263" s="2" t="s">
        <v>867</v>
      </c>
      <c r="C263" s="2" t="s">
        <v>868</v>
      </c>
      <c r="D263" s="3">
        <v>99</v>
      </c>
      <c r="E263" s="3">
        <v>81.29</v>
      </c>
      <c r="F263" s="3"/>
      <c r="G263" s="3"/>
      <c r="H263" s="3"/>
      <c r="I263" s="3">
        <v>86.603</v>
      </c>
      <c r="J263" s="3"/>
      <c r="K263" s="3" t="s">
        <v>21</v>
      </c>
      <c r="L263" s="3"/>
      <c r="M263" s="3">
        <v>81.29</v>
      </c>
    </row>
    <row r="264" ht="20" customHeight="1" spans="1:13">
      <c r="A264" s="2">
        <v>263</v>
      </c>
      <c r="B264" s="2">
        <v>20230802332</v>
      </c>
      <c r="C264" s="2" t="s">
        <v>334</v>
      </c>
      <c r="D264" s="3">
        <v>98.19</v>
      </c>
      <c r="E264" s="3">
        <v>81.27</v>
      </c>
      <c r="F264" s="3">
        <v>80.5</v>
      </c>
      <c r="G264" s="3">
        <v>0</v>
      </c>
      <c r="H264" s="3">
        <v>2</v>
      </c>
      <c r="I264" s="3">
        <v>84.269</v>
      </c>
      <c r="J264" s="3"/>
      <c r="K264" s="3"/>
      <c r="L264" s="3"/>
      <c r="M264" s="3">
        <v>81.27</v>
      </c>
    </row>
    <row r="265" ht="20" customHeight="1" spans="1:13">
      <c r="A265" s="2">
        <v>264</v>
      </c>
      <c r="B265" s="2">
        <v>20230805110</v>
      </c>
      <c r="C265" s="2" t="s">
        <v>377</v>
      </c>
      <c r="D265" s="3">
        <v>95.4871794871795</v>
      </c>
      <c r="E265" s="3">
        <v>81.27</v>
      </c>
      <c r="F265" s="3">
        <v>85</v>
      </c>
      <c r="G265" s="3"/>
      <c r="H265" s="3">
        <v>1</v>
      </c>
      <c r="I265" s="3">
        <v>84.9081538461539</v>
      </c>
      <c r="J265" s="3"/>
      <c r="K265" s="3"/>
      <c r="L265" s="3"/>
      <c r="M265" s="3">
        <v>81.27</v>
      </c>
    </row>
    <row r="266" ht="20" customHeight="1" spans="1:13">
      <c r="A266" s="2">
        <v>265</v>
      </c>
      <c r="B266" s="2" t="s">
        <v>1317</v>
      </c>
      <c r="C266" s="2" t="s">
        <v>1318</v>
      </c>
      <c r="D266" s="3">
        <v>99</v>
      </c>
      <c r="E266" s="3">
        <v>81.2</v>
      </c>
      <c r="F266" s="3"/>
      <c r="G266" s="3"/>
      <c r="H266" s="3"/>
      <c r="I266" s="3">
        <v>86.54</v>
      </c>
      <c r="J266" s="3"/>
      <c r="K266" s="3"/>
      <c r="L266" s="3"/>
      <c r="M266" s="3">
        <v>81.2</v>
      </c>
    </row>
    <row r="267" ht="20" customHeight="1" spans="1:13">
      <c r="A267" s="2">
        <v>266</v>
      </c>
      <c r="B267" s="2">
        <v>20230802125</v>
      </c>
      <c r="C267" s="2" t="s">
        <v>159</v>
      </c>
      <c r="D267" s="3">
        <v>97.41</v>
      </c>
      <c r="E267" s="3">
        <v>81.18</v>
      </c>
      <c r="F267" s="3">
        <v>83.5</v>
      </c>
      <c r="G267" s="3"/>
      <c r="H267" s="3"/>
      <c r="I267" s="3">
        <v>86.281</v>
      </c>
      <c r="J267" s="3"/>
      <c r="K267" s="3"/>
      <c r="L267" s="3"/>
      <c r="M267" s="3">
        <v>81.18</v>
      </c>
    </row>
    <row r="268" ht="20" customHeight="1" spans="1:13">
      <c r="A268" s="2">
        <v>267</v>
      </c>
      <c r="B268" s="2">
        <v>20230802340</v>
      </c>
      <c r="C268" s="2" t="s">
        <v>335</v>
      </c>
      <c r="D268" s="3">
        <v>97.38</v>
      </c>
      <c r="E268" s="3">
        <v>81.18</v>
      </c>
      <c r="F268" s="3">
        <v>83</v>
      </c>
      <c r="G268" s="3">
        <v>0</v>
      </c>
      <c r="H268" s="3">
        <v>2</v>
      </c>
      <c r="I268" s="3">
        <v>84.222</v>
      </c>
      <c r="J268" s="3"/>
      <c r="K268" s="3"/>
      <c r="L268" s="3"/>
      <c r="M268" s="3">
        <v>81.18</v>
      </c>
    </row>
    <row r="269" ht="20" customHeight="1" spans="1:13">
      <c r="A269" s="2">
        <v>268</v>
      </c>
      <c r="B269" s="2" t="s">
        <v>924</v>
      </c>
      <c r="C269" s="2" t="s">
        <v>925</v>
      </c>
      <c r="D269" s="3">
        <v>96.7941</v>
      </c>
      <c r="E269" s="3">
        <v>81.18</v>
      </c>
      <c r="F269" s="3"/>
      <c r="G269" s="3">
        <v>4</v>
      </c>
      <c r="H269" s="3">
        <v>0</v>
      </c>
      <c r="I269" s="3">
        <v>89.86423</v>
      </c>
      <c r="J269" s="3"/>
      <c r="K269" s="3"/>
      <c r="L269" s="3" t="s">
        <v>21</v>
      </c>
      <c r="M269" s="3">
        <v>81.18</v>
      </c>
    </row>
    <row r="270" ht="20" customHeight="1" spans="1:13">
      <c r="A270" s="2">
        <v>269</v>
      </c>
      <c r="B270" s="2" t="s">
        <v>1300</v>
      </c>
      <c r="C270" s="2" t="s">
        <v>1301</v>
      </c>
      <c r="D270" s="3">
        <v>99</v>
      </c>
      <c r="E270" s="3">
        <v>81.13</v>
      </c>
      <c r="F270" s="3"/>
      <c r="G270" s="3">
        <v>4</v>
      </c>
      <c r="H270" s="3"/>
      <c r="I270" s="3">
        <v>90.491</v>
      </c>
      <c r="J270" s="3"/>
      <c r="K270" s="3"/>
      <c r="L270" s="3"/>
      <c r="M270" s="3">
        <v>81.13</v>
      </c>
    </row>
    <row r="271" ht="20" customHeight="1" spans="1:13">
      <c r="A271" s="2">
        <v>270</v>
      </c>
      <c r="B271" s="2" t="s">
        <v>1144</v>
      </c>
      <c r="C271" s="2" t="s">
        <v>1145</v>
      </c>
      <c r="D271" s="3">
        <v>96.5</v>
      </c>
      <c r="E271" s="3">
        <v>81.07</v>
      </c>
      <c r="F271" s="3"/>
      <c r="G271" s="3"/>
      <c r="H271" s="3"/>
      <c r="I271" s="3">
        <v>85.699</v>
      </c>
      <c r="J271" s="3"/>
      <c r="K271" s="3"/>
      <c r="L271" s="3"/>
      <c r="M271" s="3">
        <v>81.07</v>
      </c>
    </row>
    <row r="272" ht="20" customHeight="1" spans="1:13">
      <c r="A272" s="2">
        <v>271</v>
      </c>
      <c r="B272" s="2">
        <v>20230802315</v>
      </c>
      <c r="C272" s="2" t="s">
        <v>325</v>
      </c>
      <c r="D272" s="3">
        <v>98.38</v>
      </c>
      <c r="E272" s="3">
        <v>81</v>
      </c>
      <c r="F272" s="3">
        <v>76.5</v>
      </c>
      <c r="G272" s="3">
        <v>14</v>
      </c>
      <c r="H272" s="3">
        <v>0</v>
      </c>
      <c r="I272" s="3">
        <v>99.764</v>
      </c>
      <c r="J272" s="3"/>
      <c r="K272" s="3"/>
      <c r="L272" s="3" t="s">
        <v>21</v>
      </c>
      <c r="M272" s="3">
        <v>81</v>
      </c>
    </row>
    <row r="273" ht="20" customHeight="1" spans="1:13">
      <c r="A273" s="2">
        <v>272</v>
      </c>
      <c r="B273" s="2">
        <v>20230805132</v>
      </c>
      <c r="C273" s="2" t="s">
        <v>375</v>
      </c>
      <c r="D273" s="3">
        <v>95.4615384615385</v>
      </c>
      <c r="E273" s="3">
        <v>81</v>
      </c>
      <c r="F273" s="3">
        <v>88.25</v>
      </c>
      <c r="G273" s="3"/>
      <c r="H273" s="3">
        <v>1</v>
      </c>
      <c r="I273" s="3">
        <v>85.0634615384616</v>
      </c>
      <c r="J273" s="3"/>
      <c r="K273" s="3"/>
      <c r="L273" s="3"/>
      <c r="M273" s="3">
        <v>81</v>
      </c>
    </row>
    <row r="274" ht="20" customHeight="1" spans="1:13">
      <c r="A274" s="2">
        <v>273</v>
      </c>
      <c r="B274" s="2" t="s">
        <v>1044</v>
      </c>
      <c r="C274" s="2" t="s">
        <v>1045</v>
      </c>
      <c r="D274" s="3">
        <v>95</v>
      </c>
      <c r="E274" s="3">
        <v>80.94</v>
      </c>
      <c r="F274" s="3"/>
      <c r="G274" s="3"/>
      <c r="H274" s="3"/>
      <c r="I274" s="3">
        <v>85.158</v>
      </c>
      <c r="J274" s="3"/>
      <c r="K274" s="3"/>
      <c r="L274" s="3"/>
      <c r="M274" s="3">
        <v>80.94</v>
      </c>
    </row>
    <row r="275" ht="20" customHeight="1" spans="1:13">
      <c r="A275" s="2">
        <v>274</v>
      </c>
      <c r="B275" s="2" t="s">
        <v>1750</v>
      </c>
      <c r="C275" s="2" t="s">
        <v>1751</v>
      </c>
      <c r="D275" s="3">
        <v>100</v>
      </c>
      <c r="E275" s="3">
        <v>80.94</v>
      </c>
      <c r="F275" s="3"/>
      <c r="G275" s="3">
        <v>2</v>
      </c>
      <c r="H275" s="3"/>
      <c r="I275" s="3">
        <v>88.658</v>
      </c>
      <c r="J275" s="3"/>
      <c r="K275" s="3"/>
      <c r="L275" s="3" t="s">
        <v>21</v>
      </c>
      <c r="M275" s="3">
        <v>80.94</v>
      </c>
    </row>
    <row r="276" ht="20" customHeight="1" spans="1:13">
      <c r="A276" s="2">
        <v>275</v>
      </c>
      <c r="B276" s="2">
        <v>20230802201</v>
      </c>
      <c r="C276" s="2" t="s">
        <v>257</v>
      </c>
      <c r="D276" s="3">
        <v>97.14</v>
      </c>
      <c r="E276" s="3">
        <v>80.91</v>
      </c>
      <c r="F276" s="3">
        <v>85.25</v>
      </c>
      <c r="G276" s="3"/>
      <c r="H276" s="3"/>
      <c r="I276" s="3">
        <v>86.213</v>
      </c>
      <c r="J276" s="3"/>
      <c r="K276" s="3"/>
      <c r="L276" s="3"/>
      <c r="M276" s="3">
        <v>80.91</v>
      </c>
    </row>
    <row r="277" ht="20" customHeight="1" spans="1:13">
      <c r="A277" s="2">
        <v>276</v>
      </c>
      <c r="B277" s="2" t="s">
        <v>1754</v>
      </c>
      <c r="C277" s="2" t="s">
        <v>1755</v>
      </c>
      <c r="D277" s="3">
        <v>94</v>
      </c>
      <c r="E277" s="3">
        <v>80.82</v>
      </c>
      <c r="F277" s="3"/>
      <c r="G277" s="3">
        <v>1</v>
      </c>
      <c r="H277" s="3"/>
      <c r="I277" s="3">
        <v>85.774</v>
      </c>
      <c r="J277" s="3"/>
      <c r="K277" s="3" t="s">
        <v>21</v>
      </c>
      <c r="L277" s="3"/>
      <c r="M277" s="3">
        <v>80.82</v>
      </c>
    </row>
    <row r="278" ht="20" customHeight="1" spans="1:13">
      <c r="A278" s="2">
        <v>277</v>
      </c>
      <c r="B278" s="2">
        <v>20230817102</v>
      </c>
      <c r="C278" s="2" t="s">
        <v>615</v>
      </c>
      <c r="D278" s="3">
        <v>98</v>
      </c>
      <c r="E278" s="3">
        <v>80.75</v>
      </c>
      <c r="F278" s="3">
        <v>81.75</v>
      </c>
      <c r="G278" s="3">
        <v>2.5</v>
      </c>
      <c r="H278" s="3">
        <v>4</v>
      </c>
      <c r="I278" s="3">
        <v>84.525</v>
      </c>
      <c r="J278" s="3"/>
      <c r="K278" s="3"/>
      <c r="L278" s="3"/>
      <c r="M278" s="3">
        <v>80.75</v>
      </c>
    </row>
    <row r="279" ht="20" customHeight="1" spans="1:13">
      <c r="A279" s="2">
        <v>278</v>
      </c>
      <c r="B279" s="2">
        <v>20230802312</v>
      </c>
      <c r="C279" s="2" t="s">
        <v>332</v>
      </c>
      <c r="D279" s="3">
        <v>97.41</v>
      </c>
      <c r="E279" s="3">
        <v>80.64</v>
      </c>
      <c r="F279" s="3">
        <v>89.75</v>
      </c>
      <c r="G279" s="3">
        <v>0</v>
      </c>
      <c r="H279" s="3">
        <v>0</v>
      </c>
      <c r="I279" s="3">
        <v>86.582</v>
      </c>
      <c r="J279" s="3"/>
      <c r="K279" s="3"/>
      <c r="L279" s="3" t="s">
        <v>21</v>
      </c>
      <c r="M279" s="3">
        <v>80.64</v>
      </c>
    </row>
    <row r="280" ht="20" customHeight="1" spans="1:13">
      <c r="A280" s="2">
        <v>279</v>
      </c>
      <c r="B280" s="2">
        <v>20230805324</v>
      </c>
      <c r="C280" s="2" t="s">
        <v>513</v>
      </c>
      <c r="D280" s="3">
        <v>97.71</v>
      </c>
      <c r="E280" s="3">
        <v>80.64</v>
      </c>
      <c r="F280" s="3">
        <v>79.25</v>
      </c>
      <c r="G280" s="3"/>
      <c r="H280" s="3"/>
      <c r="I280" s="3">
        <v>85.622</v>
      </c>
      <c r="J280" s="3"/>
      <c r="K280" s="3"/>
      <c r="L280" s="3"/>
      <c r="M280" s="3">
        <v>80.64</v>
      </c>
    </row>
    <row r="281" ht="20" customHeight="1" spans="1:13">
      <c r="A281" s="2">
        <v>280</v>
      </c>
      <c r="B281" s="2" t="s">
        <v>1326</v>
      </c>
      <c r="C281" s="2" t="s">
        <v>1327</v>
      </c>
      <c r="D281" s="3">
        <v>98</v>
      </c>
      <c r="E281" s="3">
        <v>80.6</v>
      </c>
      <c r="F281" s="3"/>
      <c r="G281" s="3"/>
      <c r="H281" s="3"/>
      <c r="I281" s="3">
        <v>85.82</v>
      </c>
      <c r="J281" s="3"/>
      <c r="K281" s="3"/>
      <c r="L281" s="3"/>
      <c r="M281" s="3">
        <v>80.6</v>
      </c>
    </row>
    <row r="282" ht="20" customHeight="1" spans="1:13">
      <c r="A282" s="2">
        <v>281</v>
      </c>
      <c r="B282" s="2" t="s">
        <v>789</v>
      </c>
      <c r="C282" s="2" t="s">
        <v>790</v>
      </c>
      <c r="D282" s="3">
        <v>98</v>
      </c>
      <c r="E282" s="3">
        <v>80.59</v>
      </c>
      <c r="F282" s="3"/>
      <c r="G282" s="3"/>
      <c r="H282" s="3"/>
      <c r="I282" s="3">
        <v>85.813</v>
      </c>
      <c r="J282" s="3"/>
      <c r="K282" s="3"/>
      <c r="L282" s="3"/>
      <c r="M282" s="3">
        <v>80.59</v>
      </c>
    </row>
    <row r="283" ht="20" customHeight="1" spans="1:13">
      <c r="A283" s="2">
        <v>282</v>
      </c>
      <c r="B283" s="2">
        <v>20230802102</v>
      </c>
      <c r="C283" s="2" t="s">
        <v>156</v>
      </c>
      <c r="D283" s="3">
        <v>95.74</v>
      </c>
      <c r="E283" s="3">
        <v>80.55</v>
      </c>
      <c r="F283" s="3">
        <v>83.25</v>
      </c>
      <c r="G283" s="3">
        <v>1</v>
      </c>
      <c r="H283" s="3"/>
      <c r="I283" s="3">
        <v>86.377</v>
      </c>
      <c r="J283" s="3"/>
      <c r="K283" s="3"/>
      <c r="L283" s="3" t="s">
        <v>21</v>
      </c>
      <c r="M283" s="3">
        <v>80.55</v>
      </c>
    </row>
    <row r="284" ht="20" customHeight="1" spans="1:13">
      <c r="A284" s="2">
        <v>283</v>
      </c>
      <c r="B284" s="2">
        <v>20230802202</v>
      </c>
      <c r="C284" s="2" t="s">
        <v>232</v>
      </c>
      <c r="D284" s="3">
        <v>94.79</v>
      </c>
      <c r="E284" s="3">
        <v>80.55</v>
      </c>
      <c r="F284" s="3">
        <v>78.25</v>
      </c>
      <c r="G284" s="3">
        <v>15</v>
      </c>
      <c r="H284" s="3"/>
      <c r="I284" s="3">
        <v>99.592</v>
      </c>
      <c r="J284" s="3"/>
      <c r="K284" s="3"/>
      <c r="L284" s="3"/>
      <c r="M284" s="3">
        <v>80.55</v>
      </c>
    </row>
    <row r="285" ht="20" customHeight="1" spans="1:13">
      <c r="A285" s="2">
        <v>284</v>
      </c>
      <c r="B285" s="2">
        <v>20230802226</v>
      </c>
      <c r="C285" s="2" t="s">
        <v>244</v>
      </c>
      <c r="D285" s="3">
        <v>96.58</v>
      </c>
      <c r="E285" s="3">
        <v>80.55</v>
      </c>
      <c r="F285" s="3">
        <v>81</v>
      </c>
      <c r="G285" s="3">
        <v>3</v>
      </c>
      <c r="H285" s="3"/>
      <c r="I285" s="3">
        <v>88.404</v>
      </c>
      <c r="J285" s="3"/>
      <c r="K285" s="3"/>
      <c r="L285" s="3" t="s">
        <v>21</v>
      </c>
      <c r="M285" s="3">
        <v>80.55</v>
      </c>
    </row>
    <row r="286" ht="20" customHeight="1" spans="1:13">
      <c r="A286" s="2">
        <v>285</v>
      </c>
      <c r="B286" s="2">
        <v>20230817112</v>
      </c>
      <c r="C286" s="2" t="s">
        <v>600</v>
      </c>
      <c r="D286" s="3">
        <v>96</v>
      </c>
      <c r="E286" s="3">
        <v>80.5</v>
      </c>
      <c r="F286" s="3">
        <v>85.25</v>
      </c>
      <c r="G286" s="3">
        <v>3.5</v>
      </c>
      <c r="H286" s="3">
        <v>2</v>
      </c>
      <c r="I286" s="3">
        <v>87.125</v>
      </c>
      <c r="J286" s="3"/>
      <c r="K286" s="3"/>
      <c r="L286" s="3"/>
      <c r="M286" s="3">
        <v>80.5</v>
      </c>
    </row>
    <row r="287" ht="20" customHeight="1" spans="1:13">
      <c r="A287" s="2">
        <v>286</v>
      </c>
      <c r="B287" s="2" t="s">
        <v>871</v>
      </c>
      <c r="C287" s="2" t="s">
        <v>872</v>
      </c>
      <c r="D287" s="3">
        <v>99</v>
      </c>
      <c r="E287" s="3">
        <v>80.47</v>
      </c>
      <c r="F287" s="3"/>
      <c r="G287" s="3"/>
      <c r="H287" s="3"/>
      <c r="I287" s="3">
        <v>86.029</v>
      </c>
      <c r="J287" s="3"/>
      <c r="K287" s="3"/>
      <c r="L287" s="3"/>
      <c r="M287" s="3">
        <v>80.47</v>
      </c>
    </row>
    <row r="288" ht="20" customHeight="1" spans="1:13">
      <c r="A288" s="2">
        <v>287</v>
      </c>
      <c r="B288" s="2" t="s">
        <v>1309</v>
      </c>
      <c r="C288" s="2" t="s">
        <v>1310</v>
      </c>
      <c r="D288" s="3">
        <v>99</v>
      </c>
      <c r="E288" s="3">
        <v>80.47</v>
      </c>
      <c r="F288" s="3"/>
      <c r="G288" s="3">
        <v>2</v>
      </c>
      <c r="H288" s="3"/>
      <c r="I288" s="3">
        <v>88.029</v>
      </c>
      <c r="J288" s="3"/>
      <c r="K288" s="3"/>
      <c r="L288" s="3" t="s">
        <v>21</v>
      </c>
      <c r="M288" s="3">
        <v>80.47</v>
      </c>
    </row>
    <row r="289" ht="20" customHeight="1" spans="1:13">
      <c r="A289" s="2">
        <v>288</v>
      </c>
      <c r="B289" s="2">
        <v>20230805107</v>
      </c>
      <c r="C289" s="2" t="s">
        <v>374</v>
      </c>
      <c r="D289" s="3">
        <v>95.1538461538462</v>
      </c>
      <c r="E289" s="3">
        <v>80.45</v>
      </c>
      <c r="F289" s="3">
        <v>86</v>
      </c>
      <c r="G289" s="3"/>
      <c r="H289" s="3"/>
      <c r="I289" s="3">
        <v>85.4161538461539</v>
      </c>
      <c r="J289" s="3"/>
      <c r="K289" s="3"/>
      <c r="L289" s="3"/>
      <c r="M289" s="3">
        <v>80.45</v>
      </c>
    </row>
    <row r="290" ht="20" customHeight="1" spans="1:13">
      <c r="A290" s="2">
        <v>289</v>
      </c>
      <c r="B290" s="2">
        <v>20230805209</v>
      </c>
      <c r="C290" s="2" t="s">
        <v>421</v>
      </c>
      <c r="D290" s="3">
        <v>94.2702702702703</v>
      </c>
      <c r="E290" s="3">
        <v>80.4545454545455</v>
      </c>
      <c r="F290" s="3">
        <v>87.75</v>
      </c>
      <c r="G290" s="3">
        <v>2</v>
      </c>
      <c r="H290" s="3"/>
      <c r="I290" s="3">
        <v>87.3288083538084</v>
      </c>
      <c r="J290" s="3"/>
      <c r="K290" s="3"/>
      <c r="L290" s="3"/>
      <c r="M290" s="3">
        <v>80.45</v>
      </c>
    </row>
    <row r="291" ht="20" customHeight="1" spans="1:13">
      <c r="A291" s="2">
        <v>290</v>
      </c>
      <c r="B291" s="2">
        <v>20230805136</v>
      </c>
      <c r="C291" s="2" t="s">
        <v>366</v>
      </c>
      <c r="D291" s="3">
        <v>95.2564102564103</v>
      </c>
      <c r="E291" s="3">
        <v>80.36</v>
      </c>
      <c r="F291" s="3">
        <v>89</v>
      </c>
      <c r="G291" s="3">
        <v>5</v>
      </c>
      <c r="H291" s="3"/>
      <c r="I291" s="3">
        <v>90.6929230769231</v>
      </c>
      <c r="J291" s="3"/>
      <c r="K291" s="3" t="s">
        <v>21</v>
      </c>
      <c r="L291" s="3"/>
      <c r="M291" s="3">
        <v>80.36</v>
      </c>
    </row>
    <row r="292" ht="20" customHeight="1" spans="1:13">
      <c r="A292" s="2">
        <v>291</v>
      </c>
      <c r="B292" s="2">
        <v>20230805214</v>
      </c>
      <c r="C292" s="2" t="s">
        <v>431</v>
      </c>
      <c r="D292" s="3">
        <v>93.3513513513514</v>
      </c>
      <c r="E292" s="3">
        <v>80.3636363636364</v>
      </c>
      <c r="F292" s="3">
        <v>85.5</v>
      </c>
      <c r="G292" s="3"/>
      <c r="H292" s="3"/>
      <c r="I292" s="3">
        <v>84.7735872235873</v>
      </c>
      <c r="J292" s="3"/>
      <c r="K292" s="3"/>
      <c r="L292" s="3"/>
      <c r="M292" s="3">
        <v>80.36</v>
      </c>
    </row>
    <row r="293" ht="20" customHeight="1" spans="1:13">
      <c r="A293" s="2">
        <v>292</v>
      </c>
      <c r="B293" s="2" t="s">
        <v>855</v>
      </c>
      <c r="C293" s="2" t="s">
        <v>856</v>
      </c>
      <c r="D293" s="3">
        <v>100</v>
      </c>
      <c r="E293" s="3">
        <v>80.35</v>
      </c>
      <c r="F293" s="3"/>
      <c r="G293" s="3">
        <v>4.5</v>
      </c>
      <c r="H293" s="3"/>
      <c r="I293" s="3">
        <v>90.745</v>
      </c>
      <c r="J293" s="3"/>
      <c r="K293" s="3" t="s">
        <v>21</v>
      </c>
      <c r="L293" s="3"/>
      <c r="M293" s="3">
        <v>80.35</v>
      </c>
    </row>
    <row r="294" ht="20" customHeight="1" spans="1:13">
      <c r="A294" s="2">
        <v>293</v>
      </c>
      <c r="B294" s="2" t="s">
        <v>1329</v>
      </c>
      <c r="C294" s="2" t="s">
        <v>1330</v>
      </c>
      <c r="D294" s="3">
        <v>98</v>
      </c>
      <c r="E294" s="3">
        <v>80.33</v>
      </c>
      <c r="F294" s="3"/>
      <c r="G294" s="3"/>
      <c r="H294" s="3"/>
      <c r="I294" s="3">
        <v>85.631</v>
      </c>
      <c r="J294" s="3"/>
      <c r="K294" s="3"/>
      <c r="L294" s="3"/>
      <c r="M294" s="3">
        <v>80.33</v>
      </c>
    </row>
    <row r="295" ht="20" customHeight="1" spans="1:13">
      <c r="A295" s="2">
        <v>294</v>
      </c>
      <c r="B295" s="2" t="s">
        <v>1437</v>
      </c>
      <c r="C295" s="2" t="s">
        <v>1438</v>
      </c>
      <c r="D295" s="3">
        <v>92</v>
      </c>
      <c r="E295" s="3">
        <v>80.33</v>
      </c>
      <c r="F295" s="3"/>
      <c r="G295" s="3">
        <v>1.5</v>
      </c>
      <c r="H295" s="3"/>
      <c r="I295" s="3">
        <v>85.331</v>
      </c>
      <c r="J295" s="3"/>
      <c r="K295" s="3"/>
      <c r="L295" s="3"/>
      <c r="M295" s="3">
        <v>80.33</v>
      </c>
    </row>
    <row r="296" ht="20" customHeight="1" spans="1:13">
      <c r="A296" s="2">
        <v>295</v>
      </c>
      <c r="B296" s="2" t="s">
        <v>769</v>
      </c>
      <c r="C296" s="2" t="s">
        <v>770</v>
      </c>
      <c r="D296" s="3">
        <v>99</v>
      </c>
      <c r="E296" s="3">
        <v>80.29</v>
      </c>
      <c r="F296" s="3"/>
      <c r="G296" s="3">
        <v>5</v>
      </c>
      <c r="H296" s="3"/>
      <c r="I296" s="3">
        <v>90.903</v>
      </c>
      <c r="J296" s="3"/>
      <c r="K296" s="3"/>
      <c r="L296" s="3" t="s">
        <v>21</v>
      </c>
      <c r="M296" s="3">
        <v>80.29</v>
      </c>
    </row>
    <row r="297" ht="20" customHeight="1" spans="1:13">
      <c r="A297" s="2">
        <v>296</v>
      </c>
      <c r="B297" s="2" t="s">
        <v>1047</v>
      </c>
      <c r="C297" s="2" t="s">
        <v>1048</v>
      </c>
      <c r="D297" s="3">
        <v>95</v>
      </c>
      <c r="E297" s="3">
        <v>80.29</v>
      </c>
      <c r="F297" s="3"/>
      <c r="G297" s="3"/>
      <c r="H297" s="3"/>
      <c r="I297" s="3">
        <v>84.703</v>
      </c>
      <c r="J297" s="3"/>
      <c r="K297" s="3"/>
      <c r="L297" s="3"/>
      <c r="M297" s="3">
        <v>80.29</v>
      </c>
    </row>
    <row r="298" ht="20" customHeight="1" spans="1:13">
      <c r="A298" s="2">
        <v>297</v>
      </c>
      <c r="B298" s="2">
        <v>20230802221</v>
      </c>
      <c r="C298" s="2" t="s">
        <v>246</v>
      </c>
      <c r="D298" s="3">
        <v>96.94</v>
      </c>
      <c r="E298" s="3">
        <v>80.27</v>
      </c>
      <c r="F298" s="3">
        <v>84</v>
      </c>
      <c r="G298" s="3">
        <v>2</v>
      </c>
      <c r="H298" s="3"/>
      <c r="I298" s="3">
        <v>87.644</v>
      </c>
      <c r="J298" s="3"/>
      <c r="K298" s="3"/>
      <c r="L298" s="3" t="s">
        <v>21</v>
      </c>
      <c r="M298" s="3">
        <v>80.27</v>
      </c>
    </row>
    <row r="299" ht="20" customHeight="1" spans="1:13">
      <c r="A299" s="2">
        <v>298</v>
      </c>
      <c r="B299" s="2">
        <v>20230802330</v>
      </c>
      <c r="C299" s="2" t="s">
        <v>333</v>
      </c>
      <c r="D299" s="3">
        <v>97.19</v>
      </c>
      <c r="E299" s="3">
        <v>80.27</v>
      </c>
      <c r="F299" s="3">
        <v>82.5</v>
      </c>
      <c r="G299" s="3">
        <v>0</v>
      </c>
      <c r="H299" s="3">
        <v>0</v>
      </c>
      <c r="I299" s="3">
        <v>85.569</v>
      </c>
      <c r="J299" s="3"/>
      <c r="K299" s="3"/>
      <c r="L299" s="3"/>
      <c r="M299" s="3">
        <v>80.27</v>
      </c>
    </row>
    <row r="300" ht="20" customHeight="1" spans="1:13">
      <c r="A300" s="2">
        <v>299</v>
      </c>
      <c r="B300" s="2">
        <v>20230805105</v>
      </c>
      <c r="C300" s="2" t="s">
        <v>373</v>
      </c>
      <c r="D300" s="3">
        <v>95.3589743589744</v>
      </c>
      <c r="E300" s="3">
        <v>80.27</v>
      </c>
      <c r="F300" s="3">
        <v>86.75</v>
      </c>
      <c r="G300" s="3"/>
      <c r="H300" s="3"/>
      <c r="I300" s="3">
        <v>85.4446923076923</v>
      </c>
      <c r="J300" s="3"/>
      <c r="K300" s="3"/>
      <c r="L300" s="3"/>
      <c r="M300" s="3">
        <v>80.27</v>
      </c>
    </row>
    <row r="301" ht="20" customHeight="1" spans="1:13">
      <c r="A301" s="2">
        <v>300</v>
      </c>
      <c r="B301" s="2" t="s">
        <v>1214</v>
      </c>
      <c r="C301" s="2" t="s">
        <v>1215</v>
      </c>
      <c r="D301" s="3">
        <v>92.31</v>
      </c>
      <c r="E301" s="3">
        <v>80.27</v>
      </c>
      <c r="F301" s="3"/>
      <c r="G301" s="3">
        <v>2</v>
      </c>
      <c r="H301" s="3"/>
      <c r="I301" s="3">
        <v>85.882</v>
      </c>
      <c r="J301" s="3"/>
      <c r="K301" s="3"/>
      <c r="L301" s="3" t="s">
        <v>21</v>
      </c>
      <c r="M301" s="3">
        <v>80.27</v>
      </c>
    </row>
    <row r="302" ht="20" customHeight="1" spans="1:13">
      <c r="A302" s="2">
        <v>301</v>
      </c>
      <c r="B302" s="2" t="s">
        <v>875</v>
      </c>
      <c r="C302" s="2" t="s">
        <v>876</v>
      </c>
      <c r="D302" s="3">
        <v>98</v>
      </c>
      <c r="E302" s="3">
        <v>80.12</v>
      </c>
      <c r="F302" s="3"/>
      <c r="G302" s="3"/>
      <c r="H302" s="3"/>
      <c r="I302" s="3">
        <v>85.484</v>
      </c>
      <c r="J302" s="3"/>
      <c r="K302" s="3"/>
      <c r="L302" s="3"/>
      <c r="M302" s="3">
        <v>80.12</v>
      </c>
    </row>
    <row r="303" ht="20" customHeight="1" spans="1:13">
      <c r="A303" s="2">
        <v>302</v>
      </c>
      <c r="B303" s="2" t="s">
        <v>877</v>
      </c>
      <c r="C303" s="2" t="s">
        <v>878</v>
      </c>
      <c r="D303" s="3">
        <v>98</v>
      </c>
      <c r="E303" s="3">
        <v>79.94</v>
      </c>
      <c r="F303" s="3"/>
      <c r="G303" s="3"/>
      <c r="H303" s="3"/>
      <c r="I303" s="3">
        <v>85.358</v>
      </c>
      <c r="J303" s="3"/>
      <c r="K303" s="3"/>
      <c r="L303" s="3"/>
      <c r="M303" s="3">
        <v>79.94</v>
      </c>
    </row>
    <row r="304" ht="20" customHeight="1" spans="1:13">
      <c r="A304" s="2">
        <v>303</v>
      </c>
      <c r="B304" s="2" t="s">
        <v>1049</v>
      </c>
      <c r="C304" s="2" t="s">
        <v>1050</v>
      </c>
      <c r="D304" s="3">
        <v>95</v>
      </c>
      <c r="E304" s="3">
        <v>79.94</v>
      </c>
      <c r="F304" s="3"/>
      <c r="G304" s="3"/>
      <c r="H304" s="3"/>
      <c r="I304" s="3">
        <v>84.458</v>
      </c>
      <c r="J304" s="3"/>
      <c r="K304" s="3"/>
      <c r="L304" s="3"/>
      <c r="M304" s="3">
        <v>79.94</v>
      </c>
    </row>
    <row r="305" ht="20" customHeight="1" spans="1:13">
      <c r="A305" s="2">
        <v>304</v>
      </c>
      <c r="B305" s="2">
        <v>20230817132</v>
      </c>
      <c r="C305" s="2" t="s">
        <v>621</v>
      </c>
      <c r="D305" s="3">
        <v>95</v>
      </c>
      <c r="E305" s="3">
        <v>79.92</v>
      </c>
      <c r="F305" s="3">
        <v>76.25</v>
      </c>
      <c r="G305" s="3"/>
      <c r="H305" s="3"/>
      <c r="I305" s="3">
        <v>84.077</v>
      </c>
      <c r="J305" s="3"/>
      <c r="K305" s="3"/>
      <c r="L305" s="3"/>
      <c r="M305" s="3">
        <v>79.92</v>
      </c>
    </row>
    <row r="306" ht="20" customHeight="1" spans="1:13">
      <c r="A306" s="2">
        <v>305</v>
      </c>
      <c r="B306" s="2">
        <v>20230802228</v>
      </c>
      <c r="C306" s="2" t="s">
        <v>259</v>
      </c>
      <c r="D306" s="3">
        <v>96.79</v>
      </c>
      <c r="E306" s="3">
        <v>79.91</v>
      </c>
      <c r="F306" s="3">
        <v>79</v>
      </c>
      <c r="G306" s="3">
        <v>2</v>
      </c>
      <c r="H306" s="3">
        <v>2</v>
      </c>
      <c r="I306" s="3">
        <v>84.883</v>
      </c>
      <c r="J306" s="3"/>
      <c r="K306" s="3"/>
      <c r="L306" s="3"/>
      <c r="M306" s="3">
        <v>79.91</v>
      </c>
    </row>
    <row r="307" ht="20" customHeight="1" spans="1:13">
      <c r="A307" s="2">
        <v>306</v>
      </c>
      <c r="B307" s="2">
        <v>20230805134</v>
      </c>
      <c r="C307" s="2" t="s">
        <v>376</v>
      </c>
      <c r="D307" s="3">
        <v>95.2820512820513</v>
      </c>
      <c r="E307" s="3">
        <v>79.91</v>
      </c>
      <c r="F307" s="3">
        <v>84.25</v>
      </c>
      <c r="G307" s="3"/>
      <c r="H307" s="3"/>
      <c r="I307" s="3">
        <v>84.9556153846154</v>
      </c>
      <c r="J307" s="3"/>
      <c r="K307" s="3"/>
      <c r="L307" s="3"/>
      <c r="M307" s="3">
        <v>79.91</v>
      </c>
    </row>
    <row r="308" ht="20" customHeight="1" spans="1:13">
      <c r="A308" s="2">
        <v>307</v>
      </c>
      <c r="B308" s="2" t="s">
        <v>1427</v>
      </c>
      <c r="C308" s="2" t="s">
        <v>1428</v>
      </c>
      <c r="D308" s="3">
        <v>93</v>
      </c>
      <c r="E308" s="3">
        <v>79.87</v>
      </c>
      <c r="F308" s="3"/>
      <c r="G308" s="3">
        <v>2</v>
      </c>
      <c r="H308" s="3"/>
      <c r="I308" s="3">
        <v>85.809</v>
      </c>
      <c r="J308" s="3"/>
      <c r="K308" s="3" t="s">
        <v>21</v>
      </c>
      <c r="L308" s="3"/>
      <c r="M308" s="3">
        <v>79.87</v>
      </c>
    </row>
    <row r="309" ht="20" customHeight="1" spans="1:13">
      <c r="A309" s="2">
        <v>308</v>
      </c>
      <c r="B309" s="2" t="s">
        <v>951</v>
      </c>
      <c r="C309" s="2" t="s">
        <v>952</v>
      </c>
      <c r="D309" s="3">
        <v>94.7059</v>
      </c>
      <c r="E309" s="3">
        <v>79.76</v>
      </c>
      <c r="F309" s="3"/>
      <c r="G309" s="3">
        <v>0</v>
      </c>
      <c r="H309" s="3">
        <v>0</v>
      </c>
      <c r="I309" s="3">
        <v>84.24377</v>
      </c>
      <c r="J309" s="3"/>
      <c r="K309" s="3"/>
      <c r="L309" s="3"/>
      <c r="M309" s="3">
        <v>79.76</v>
      </c>
    </row>
    <row r="310" ht="20" customHeight="1" spans="1:13">
      <c r="A310" s="2">
        <v>309</v>
      </c>
      <c r="B310" s="2" t="s">
        <v>1615</v>
      </c>
      <c r="C310" s="2" t="s">
        <v>1616</v>
      </c>
      <c r="D310" s="3">
        <v>93.9</v>
      </c>
      <c r="E310" s="3">
        <v>79.6</v>
      </c>
      <c r="F310" s="3"/>
      <c r="G310" s="3"/>
      <c r="H310" s="3"/>
      <c r="I310" s="3">
        <v>83.89</v>
      </c>
      <c r="J310" s="3"/>
      <c r="K310" s="3"/>
      <c r="L310" s="3"/>
      <c r="M310" s="3">
        <v>79.6</v>
      </c>
    </row>
    <row r="311" ht="20" customHeight="1" spans="1:13">
      <c r="A311" s="2">
        <v>310</v>
      </c>
      <c r="B311" s="2" t="s">
        <v>861</v>
      </c>
      <c r="C311" s="2" t="s">
        <v>862</v>
      </c>
      <c r="D311" s="3">
        <v>98</v>
      </c>
      <c r="E311" s="3">
        <v>79.59</v>
      </c>
      <c r="F311" s="3"/>
      <c r="G311" s="3">
        <v>3.5</v>
      </c>
      <c r="H311" s="3"/>
      <c r="I311" s="3">
        <v>88.613</v>
      </c>
      <c r="J311" s="3"/>
      <c r="K311" s="3"/>
      <c r="L311" s="3"/>
      <c r="M311" s="3">
        <v>79.59</v>
      </c>
    </row>
    <row r="312" ht="20" customHeight="1" spans="1:13">
      <c r="A312" s="2">
        <v>311</v>
      </c>
      <c r="B312" s="2" t="s">
        <v>1036</v>
      </c>
      <c r="C312" s="2" t="s">
        <v>1037</v>
      </c>
      <c r="D312" s="3">
        <v>95</v>
      </c>
      <c r="E312" s="3">
        <v>79.59</v>
      </c>
      <c r="F312" s="3"/>
      <c r="G312" s="3">
        <v>2</v>
      </c>
      <c r="H312" s="3"/>
      <c r="I312" s="3">
        <v>86.213</v>
      </c>
      <c r="J312" s="3"/>
      <c r="K312" s="3"/>
      <c r="L312" s="3" t="s">
        <v>21</v>
      </c>
      <c r="M312" s="3">
        <v>79.59</v>
      </c>
    </row>
    <row r="313" ht="20" customHeight="1" spans="1:13">
      <c r="A313" s="2">
        <v>312</v>
      </c>
      <c r="B313" s="2">
        <v>20230817138</v>
      </c>
      <c r="C313" s="2" t="s">
        <v>612</v>
      </c>
      <c r="D313" s="3">
        <v>97</v>
      </c>
      <c r="E313" s="3">
        <v>79.58</v>
      </c>
      <c r="F313" s="3">
        <v>87.25</v>
      </c>
      <c r="G313" s="3"/>
      <c r="H313" s="3">
        <v>1</v>
      </c>
      <c r="I313" s="3">
        <v>84.573</v>
      </c>
      <c r="J313" s="3"/>
      <c r="K313" s="3"/>
      <c r="L313" s="3"/>
      <c r="M313" s="3">
        <v>79.58</v>
      </c>
    </row>
    <row r="314" ht="20" customHeight="1" spans="1:13">
      <c r="A314" s="2">
        <v>313</v>
      </c>
      <c r="B314" s="2" t="s">
        <v>1613</v>
      </c>
      <c r="C314" s="2" t="s">
        <v>1614</v>
      </c>
      <c r="D314" s="3">
        <v>94.8</v>
      </c>
      <c r="E314" s="3">
        <v>79.53</v>
      </c>
      <c r="F314" s="3"/>
      <c r="G314" s="3"/>
      <c r="H314" s="3"/>
      <c r="I314" s="3">
        <v>84.111</v>
      </c>
      <c r="J314" s="3"/>
      <c r="K314" s="3" t="s">
        <v>21</v>
      </c>
      <c r="L314" s="3"/>
      <c r="M314" s="3">
        <v>79.53</v>
      </c>
    </row>
    <row r="315" ht="20" customHeight="1" spans="1:13">
      <c r="A315" s="2">
        <v>314</v>
      </c>
      <c r="B315" s="2" t="s">
        <v>935</v>
      </c>
      <c r="C315" s="2" t="s">
        <v>936</v>
      </c>
      <c r="D315" s="3">
        <v>95.4118</v>
      </c>
      <c r="E315" s="3">
        <v>79.47</v>
      </c>
      <c r="F315" s="3"/>
      <c r="G315" s="3">
        <v>3.5</v>
      </c>
      <c r="H315" s="3">
        <v>0</v>
      </c>
      <c r="I315" s="3">
        <v>87.75254</v>
      </c>
      <c r="J315" s="3"/>
      <c r="K315" s="3"/>
      <c r="L315" s="3" t="s">
        <v>21</v>
      </c>
      <c r="M315" s="3">
        <v>79.47</v>
      </c>
    </row>
    <row r="316" ht="20" customHeight="1" spans="1:13">
      <c r="A316" s="2">
        <v>315</v>
      </c>
      <c r="B316" s="2" t="s">
        <v>1226</v>
      </c>
      <c r="C316" s="2" t="s">
        <v>1227</v>
      </c>
      <c r="D316" s="3">
        <v>89.71</v>
      </c>
      <c r="E316" s="3">
        <v>79.47</v>
      </c>
      <c r="F316" s="3"/>
      <c r="G316" s="3">
        <v>1</v>
      </c>
      <c r="H316" s="3"/>
      <c r="I316" s="3">
        <v>83.542</v>
      </c>
      <c r="J316" s="3"/>
      <c r="K316" s="3"/>
      <c r="L316" s="3"/>
      <c r="M316" s="3">
        <v>79.47</v>
      </c>
    </row>
    <row r="317" ht="20" customHeight="1" spans="1:13">
      <c r="A317" s="2">
        <v>316</v>
      </c>
      <c r="B317" s="2" t="s">
        <v>1435</v>
      </c>
      <c r="C317" s="2" t="s">
        <v>1436</v>
      </c>
      <c r="D317" s="3">
        <v>93</v>
      </c>
      <c r="E317" s="3">
        <v>79.47</v>
      </c>
      <c r="F317" s="3"/>
      <c r="G317" s="3">
        <v>2</v>
      </c>
      <c r="H317" s="3"/>
      <c r="I317" s="3">
        <v>85.529</v>
      </c>
      <c r="J317" s="3"/>
      <c r="K317" s="3"/>
      <c r="L317" s="3"/>
      <c r="M317" s="3">
        <v>79.47</v>
      </c>
    </row>
    <row r="318" ht="20" customHeight="1" spans="1:13">
      <c r="A318" s="2">
        <v>317</v>
      </c>
      <c r="B318" s="2">
        <v>20230801127</v>
      </c>
      <c r="C318" s="2" t="s">
        <v>29</v>
      </c>
      <c r="D318" s="2">
        <v>94.43</v>
      </c>
      <c r="E318" s="2" t="s">
        <v>30</v>
      </c>
      <c r="F318" s="2">
        <v>90.5</v>
      </c>
      <c r="G318" s="2">
        <v>8</v>
      </c>
      <c r="H318" s="2">
        <v>0</v>
      </c>
      <c r="I318" s="2">
        <f>D318*0.3+E318*0.6+F318*0.1+G318-H318</f>
        <v>92.995</v>
      </c>
      <c r="J318" s="3"/>
      <c r="K318" s="3" t="s">
        <v>21</v>
      </c>
      <c r="L318" s="3"/>
      <c r="M318" s="3">
        <v>79.36</v>
      </c>
    </row>
    <row r="319" ht="20" customHeight="1" spans="1:13">
      <c r="A319" s="2">
        <v>318</v>
      </c>
      <c r="B319" s="2" t="s">
        <v>954</v>
      </c>
      <c r="C319" s="2" t="s">
        <v>955</v>
      </c>
      <c r="D319" s="3">
        <v>93.3824</v>
      </c>
      <c r="E319" s="3">
        <v>79.35</v>
      </c>
      <c r="F319" s="3"/>
      <c r="G319" s="3">
        <v>0</v>
      </c>
      <c r="H319" s="3">
        <v>0</v>
      </c>
      <c r="I319" s="3">
        <v>83.55972</v>
      </c>
      <c r="J319" s="3"/>
      <c r="K319" s="3"/>
      <c r="L319" s="3"/>
      <c r="M319" s="3">
        <v>79.35</v>
      </c>
    </row>
    <row r="320" ht="20" customHeight="1" spans="1:13">
      <c r="A320" s="2">
        <v>319</v>
      </c>
      <c r="B320" s="2" t="s">
        <v>1320</v>
      </c>
      <c r="C320" s="2" t="s">
        <v>1321</v>
      </c>
      <c r="D320" s="3">
        <v>98</v>
      </c>
      <c r="E320" s="3">
        <v>79.33</v>
      </c>
      <c r="F320" s="3"/>
      <c r="G320" s="3">
        <v>1</v>
      </c>
      <c r="H320" s="3"/>
      <c r="I320" s="3">
        <v>85.931</v>
      </c>
      <c r="J320" s="3"/>
      <c r="K320" s="3"/>
      <c r="L320" s="3"/>
      <c r="M320" s="3">
        <v>79.33</v>
      </c>
    </row>
    <row r="321" ht="20" customHeight="1" spans="1:13">
      <c r="A321" s="2">
        <v>320</v>
      </c>
      <c r="B321" s="2" t="s">
        <v>1810</v>
      </c>
      <c r="C321" s="2" t="s">
        <v>1811</v>
      </c>
      <c r="D321" s="3">
        <v>86</v>
      </c>
      <c r="E321" s="3">
        <v>79.19</v>
      </c>
      <c r="F321" s="3"/>
      <c r="G321" s="3">
        <v>1.5</v>
      </c>
      <c r="H321" s="3">
        <v>1</v>
      </c>
      <c r="I321" s="3">
        <v>81.733</v>
      </c>
      <c r="J321" s="3"/>
      <c r="K321" s="3"/>
      <c r="L321" s="3"/>
      <c r="M321" s="3">
        <v>79.19</v>
      </c>
    </row>
    <row r="322" ht="20" customHeight="1" spans="1:13">
      <c r="A322" s="2">
        <v>321</v>
      </c>
      <c r="B322" s="2">
        <v>20230805106</v>
      </c>
      <c r="C322" s="2" t="s">
        <v>367</v>
      </c>
      <c r="D322" s="3">
        <v>95.1025641025641</v>
      </c>
      <c r="E322" s="3">
        <v>79.18</v>
      </c>
      <c r="F322" s="3">
        <v>88</v>
      </c>
      <c r="G322" s="3">
        <v>4.5</v>
      </c>
      <c r="H322" s="3"/>
      <c r="I322" s="3">
        <v>89.3387692307692</v>
      </c>
      <c r="J322" s="3"/>
      <c r="K322" s="3" t="s">
        <v>21</v>
      </c>
      <c r="L322" s="3"/>
      <c r="M322" s="3">
        <v>79.18</v>
      </c>
    </row>
    <row r="323" ht="20" customHeight="1" spans="1:13">
      <c r="A323" s="2">
        <v>322</v>
      </c>
      <c r="B323" s="2" t="s">
        <v>1806</v>
      </c>
      <c r="C323" s="2" t="s">
        <v>1807</v>
      </c>
      <c r="D323" s="3">
        <v>90</v>
      </c>
      <c r="E323" s="3">
        <v>79.05</v>
      </c>
      <c r="F323" s="3"/>
      <c r="G323" s="3">
        <v>1.5</v>
      </c>
      <c r="H323" s="3"/>
      <c r="I323" s="3">
        <v>83.835</v>
      </c>
      <c r="J323" s="3"/>
      <c r="K323" s="3"/>
      <c r="L323" s="3"/>
      <c r="M323" s="3">
        <v>79.05</v>
      </c>
    </row>
    <row r="324" ht="20" customHeight="1" spans="1:13">
      <c r="A324" s="2">
        <v>323</v>
      </c>
      <c r="B324" s="2">
        <v>20230802139</v>
      </c>
      <c r="C324" s="2" t="s">
        <v>135</v>
      </c>
      <c r="D324" s="3">
        <v>96.65</v>
      </c>
      <c r="E324" s="3">
        <v>78.91</v>
      </c>
      <c r="F324" s="3">
        <v>80</v>
      </c>
      <c r="G324" s="3">
        <v>8</v>
      </c>
      <c r="H324" s="3"/>
      <c r="I324" s="3">
        <v>92.341</v>
      </c>
      <c r="J324" s="3"/>
      <c r="K324" s="3" t="s">
        <v>21</v>
      </c>
      <c r="L324" s="3"/>
      <c r="M324" s="3">
        <v>78.91</v>
      </c>
    </row>
    <row r="325" ht="20" customHeight="1" spans="1:13">
      <c r="A325" s="2">
        <v>324</v>
      </c>
      <c r="B325" s="2">
        <v>20230802220</v>
      </c>
      <c r="C325" s="2" t="s">
        <v>255</v>
      </c>
      <c r="D325" s="3">
        <v>95.38</v>
      </c>
      <c r="E325" s="3">
        <v>78.91</v>
      </c>
      <c r="F325" s="3">
        <v>89.25</v>
      </c>
      <c r="G325" s="3">
        <v>2</v>
      </c>
      <c r="H325" s="3"/>
      <c r="I325" s="3">
        <v>86.885</v>
      </c>
      <c r="J325" s="3"/>
      <c r="K325" s="3"/>
      <c r="L325" s="3"/>
      <c r="M325" s="3">
        <v>78.91</v>
      </c>
    </row>
    <row r="326" ht="20" customHeight="1" spans="1:13">
      <c r="A326" s="2">
        <v>325</v>
      </c>
      <c r="B326" s="2" t="s">
        <v>1142</v>
      </c>
      <c r="C326" s="2" t="s">
        <v>1143</v>
      </c>
      <c r="D326" s="3">
        <v>95.5</v>
      </c>
      <c r="E326" s="3">
        <v>78.87</v>
      </c>
      <c r="F326" s="3"/>
      <c r="G326" s="3">
        <v>2</v>
      </c>
      <c r="H326" s="3"/>
      <c r="I326" s="3">
        <v>85.859</v>
      </c>
      <c r="J326" s="3"/>
      <c r="K326" s="3"/>
      <c r="L326" s="3" t="s">
        <v>21</v>
      </c>
      <c r="M326" s="3">
        <v>78.87</v>
      </c>
    </row>
    <row r="327" ht="20" customHeight="1" spans="1:13">
      <c r="A327" s="2">
        <v>326</v>
      </c>
      <c r="B327" s="2" t="s">
        <v>1812</v>
      </c>
      <c r="C327" s="2" t="s">
        <v>1813</v>
      </c>
      <c r="D327" s="3">
        <v>88</v>
      </c>
      <c r="E327" s="3">
        <v>78.62</v>
      </c>
      <c r="F327" s="3"/>
      <c r="G327" s="3"/>
      <c r="H327" s="3"/>
      <c r="I327" s="3">
        <v>81.434</v>
      </c>
      <c r="J327" s="3"/>
      <c r="K327" s="3"/>
      <c r="L327" s="3"/>
      <c r="M327" s="3">
        <v>78.62</v>
      </c>
    </row>
    <row r="328" ht="20" customHeight="1" spans="1:13">
      <c r="A328" s="2">
        <v>327</v>
      </c>
      <c r="B328" s="2">
        <v>20230805319</v>
      </c>
      <c r="C328" s="2" t="s">
        <v>516</v>
      </c>
      <c r="D328" s="3">
        <v>97.74</v>
      </c>
      <c r="E328" s="3">
        <v>78.45</v>
      </c>
      <c r="F328" s="3">
        <v>86.75</v>
      </c>
      <c r="G328" s="3"/>
      <c r="H328" s="3"/>
      <c r="I328" s="3">
        <v>85.067</v>
      </c>
      <c r="J328" s="3"/>
      <c r="K328" s="3"/>
      <c r="L328" s="3"/>
      <c r="M328" s="3">
        <v>78.45</v>
      </c>
    </row>
    <row r="329" ht="20" customHeight="1" spans="1:13">
      <c r="A329" s="2">
        <v>328</v>
      </c>
      <c r="B329" s="2">
        <v>20230817106</v>
      </c>
      <c r="C329" s="2" t="s">
        <v>603</v>
      </c>
      <c r="D329" s="3">
        <v>97</v>
      </c>
      <c r="E329" s="3">
        <v>78.33</v>
      </c>
      <c r="F329" s="3">
        <v>82.25</v>
      </c>
      <c r="G329" s="3">
        <v>3</v>
      </c>
      <c r="H329" s="3">
        <v>1</v>
      </c>
      <c r="I329" s="3">
        <v>86.323</v>
      </c>
      <c r="J329" s="3"/>
      <c r="K329" s="3"/>
      <c r="L329" s="3"/>
      <c r="M329" s="3">
        <v>78.33</v>
      </c>
    </row>
    <row r="330" ht="20" customHeight="1" spans="1:13">
      <c r="A330" s="2">
        <v>329</v>
      </c>
      <c r="B330" s="2" t="s">
        <v>863</v>
      </c>
      <c r="C330" s="2" t="s">
        <v>864</v>
      </c>
      <c r="D330" s="3">
        <v>100</v>
      </c>
      <c r="E330" s="3">
        <v>78.12</v>
      </c>
      <c r="F330" s="3"/>
      <c r="G330" s="3">
        <v>3.5</v>
      </c>
      <c r="H330" s="3"/>
      <c r="I330" s="3">
        <v>88.184</v>
      </c>
      <c r="J330" s="3"/>
      <c r="K330" s="3"/>
      <c r="L330" s="3" t="s">
        <v>21</v>
      </c>
      <c r="M330" s="3">
        <v>78.12</v>
      </c>
    </row>
    <row r="331" ht="20" customHeight="1" spans="1:13">
      <c r="A331" s="2">
        <v>330</v>
      </c>
      <c r="B331" s="2" t="s">
        <v>1230</v>
      </c>
      <c r="C331" s="2" t="s">
        <v>1231</v>
      </c>
      <c r="D331" s="3">
        <v>89.21</v>
      </c>
      <c r="E331" s="3">
        <v>78.07</v>
      </c>
      <c r="F331" s="3"/>
      <c r="G331" s="3">
        <v>2</v>
      </c>
      <c r="H331" s="3"/>
      <c r="I331" s="3">
        <v>83.412</v>
      </c>
      <c r="J331" s="3"/>
      <c r="K331" s="3"/>
      <c r="L331" s="3"/>
      <c r="M331" s="3">
        <v>78.07</v>
      </c>
    </row>
    <row r="332" ht="20" customHeight="1" spans="1:13">
      <c r="A332" s="2">
        <v>331</v>
      </c>
      <c r="B332" s="2" t="s">
        <v>869</v>
      </c>
      <c r="C332" s="2" t="s">
        <v>870</v>
      </c>
      <c r="D332" s="3">
        <v>99</v>
      </c>
      <c r="E332" s="3">
        <v>77.88</v>
      </c>
      <c r="F332" s="3"/>
      <c r="G332" s="3">
        <v>2.5</v>
      </c>
      <c r="H332" s="3"/>
      <c r="I332" s="3">
        <v>86.716</v>
      </c>
      <c r="J332" s="3"/>
      <c r="K332" s="3"/>
      <c r="L332" s="3"/>
      <c r="M332" s="3">
        <v>77.88</v>
      </c>
    </row>
    <row r="333" ht="20" customHeight="1" spans="1:13">
      <c r="A333" s="2">
        <v>332</v>
      </c>
      <c r="B333" s="2" t="s">
        <v>1323</v>
      </c>
      <c r="C333" s="2" t="s">
        <v>1324</v>
      </c>
      <c r="D333" s="3">
        <v>98</v>
      </c>
      <c r="E333" s="3">
        <v>77.87</v>
      </c>
      <c r="F333" s="3"/>
      <c r="G333" s="3">
        <v>2</v>
      </c>
      <c r="H333" s="3"/>
      <c r="I333" s="3">
        <v>85.909</v>
      </c>
      <c r="J333" s="3"/>
      <c r="K333" s="3"/>
      <c r="L333" s="3"/>
      <c r="M333" s="3">
        <v>77.87</v>
      </c>
    </row>
    <row r="334" ht="20" customHeight="1" spans="1:13">
      <c r="A334" s="2">
        <v>333</v>
      </c>
      <c r="B334" s="2">
        <v>20230805340</v>
      </c>
      <c r="C334" s="2" t="s">
        <v>511</v>
      </c>
      <c r="D334" s="3">
        <v>97.45</v>
      </c>
      <c r="E334" s="3">
        <v>77.82</v>
      </c>
      <c r="F334" s="3">
        <v>87.5</v>
      </c>
      <c r="G334" s="3">
        <v>1</v>
      </c>
      <c r="H334" s="3"/>
      <c r="I334" s="3">
        <v>85.677</v>
      </c>
      <c r="J334" s="3"/>
      <c r="K334" s="3"/>
      <c r="L334" s="3" t="s">
        <v>21</v>
      </c>
      <c r="M334" s="3">
        <v>77.82</v>
      </c>
    </row>
    <row r="335" ht="20" customHeight="1" spans="1:13">
      <c r="A335" s="2">
        <v>334</v>
      </c>
      <c r="B335" s="2" t="s">
        <v>1756</v>
      </c>
      <c r="C335" s="2" t="s">
        <v>1757</v>
      </c>
      <c r="D335" s="3">
        <v>93</v>
      </c>
      <c r="E335" s="3">
        <v>77.82</v>
      </c>
      <c r="F335" s="3"/>
      <c r="G335" s="3">
        <v>1</v>
      </c>
      <c r="H335" s="3"/>
      <c r="I335" s="3">
        <v>83.374</v>
      </c>
      <c r="J335" s="3"/>
      <c r="K335" s="3"/>
      <c r="L335" s="3"/>
      <c r="M335" s="3">
        <v>77.82</v>
      </c>
    </row>
    <row r="336" ht="20" customHeight="1" spans="1:13">
      <c r="A336" s="2">
        <v>335</v>
      </c>
      <c r="B336" s="2" t="s">
        <v>1618</v>
      </c>
      <c r="C336" s="2" t="s">
        <v>1619</v>
      </c>
      <c r="D336" s="3">
        <v>94.975</v>
      </c>
      <c r="E336" s="3">
        <v>77.47</v>
      </c>
      <c r="F336" s="3"/>
      <c r="G336" s="3"/>
      <c r="H336" s="3"/>
      <c r="I336" s="3">
        <v>82.7215</v>
      </c>
      <c r="J336" s="3"/>
      <c r="K336" s="3"/>
      <c r="L336" s="3" t="s">
        <v>21</v>
      </c>
      <c r="M336" s="3">
        <v>77.47</v>
      </c>
    </row>
    <row r="337" ht="20" customHeight="1" spans="1:13">
      <c r="A337" s="2">
        <v>336</v>
      </c>
      <c r="B337" s="2" t="s">
        <v>1802</v>
      </c>
      <c r="C337" s="2" t="s">
        <v>1803</v>
      </c>
      <c r="D337" s="3">
        <v>93</v>
      </c>
      <c r="E337" s="3">
        <v>77.43</v>
      </c>
      <c r="F337" s="3"/>
      <c r="G337" s="3">
        <v>2</v>
      </c>
      <c r="H337" s="3"/>
      <c r="I337" s="3">
        <v>84.101</v>
      </c>
      <c r="J337" s="3"/>
      <c r="K337" s="3"/>
      <c r="L337" s="3"/>
      <c r="M337" s="3">
        <v>77.43</v>
      </c>
    </row>
    <row r="338" ht="20" customHeight="1" spans="1:13">
      <c r="A338" s="2">
        <v>337</v>
      </c>
      <c r="B338" s="2">
        <v>20230802334</v>
      </c>
      <c r="C338" s="2" t="s">
        <v>336</v>
      </c>
      <c r="D338" s="3">
        <v>98.03</v>
      </c>
      <c r="E338" s="3">
        <v>77.18</v>
      </c>
      <c r="F338" s="3">
        <v>84.25</v>
      </c>
      <c r="G338" s="3">
        <v>0</v>
      </c>
      <c r="H338" s="3">
        <v>0</v>
      </c>
      <c r="I338" s="3">
        <v>84.142</v>
      </c>
      <c r="J338" s="3"/>
      <c r="K338" s="3"/>
      <c r="L338" s="3"/>
      <c r="M338" s="3">
        <v>77.18</v>
      </c>
    </row>
    <row r="339" ht="20" customHeight="1" spans="1:13">
      <c r="A339" s="2">
        <v>338</v>
      </c>
      <c r="B339" s="2" t="s">
        <v>1430</v>
      </c>
      <c r="C339" s="2" t="s">
        <v>1431</v>
      </c>
      <c r="D339" s="3">
        <v>100</v>
      </c>
      <c r="E339" s="3">
        <v>76.8</v>
      </c>
      <c r="F339" s="3"/>
      <c r="G339" s="3">
        <v>2</v>
      </c>
      <c r="H339" s="3"/>
      <c r="I339" s="3">
        <v>85.76</v>
      </c>
      <c r="J339" s="3"/>
      <c r="K339" s="3"/>
      <c r="L339" s="3"/>
      <c r="M339" s="3">
        <v>76.8</v>
      </c>
    </row>
    <row r="340" ht="20" customHeight="1" spans="1:13">
      <c r="A340" s="2">
        <v>339</v>
      </c>
      <c r="B340" s="2" t="s">
        <v>1419</v>
      </c>
      <c r="C340" s="2" t="s">
        <v>1420</v>
      </c>
      <c r="D340" s="3">
        <v>100</v>
      </c>
      <c r="E340" s="3">
        <v>76.6</v>
      </c>
      <c r="F340" s="3"/>
      <c r="G340" s="3">
        <v>3.5</v>
      </c>
      <c r="H340" s="3"/>
      <c r="I340" s="3">
        <v>87.12</v>
      </c>
      <c r="J340" s="3"/>
      <c r="K340" s="3"/>
      <c r="L340" s="3" t="s">
        <v>21</v>
      </c>
      <c r="M340" s="3">
        <v>76.6</v>
      </c>
    </row>
    <row r="341" ht="20" customHeight="1" spans="1:13">
      <c r="A341" s="2">
        <v>340</v>
      </c>
      <c r="B341" s="2" t="s">
        <v>1808</v>
      </c>
      <c r="C341" s="2" t="s">
        <v>1809</v>
      </c>
      <c r="D341" s="3">
        <v>94</v>
      </c>
      <c r="E341" s="3">
        <v>76.1</v>
      </c>
      <c r="F341" s="3"/>
      <c r="G341" s="3">
        <v>2</v>
      </c>
      <c r="H341" s="3"/>
      <c r="I341" s="3">
        <v>83.47</v>
      </c>
      <c r="J341" s="3"/>
      <c r="K341" s="3"/>
      <c r="L341" s="3"/>
      <c r="M341" s="3">
        <v>76.1</v>
      </c>
    </row>
    <row r="342" ht="20" customHeight="1" spans="1:13">
      <c r="A342" s="2">
        <v>341</v>
      </c>
      <c r="B342" s="2" t="s">
        <v>1758</v>
      </c>
      <c r="C342" s="2" t="s">
        <v>1759</v>
      </c>
      <c r="D342" s="3">
        <v>96</v>
      </c>
      <c r="E342" s="3">
        <v>76</v>
      </c>
      <c r="F342" s="3"/>
      <c r="G342" s="3"/>
      <c r="H342" s="3"/>
      <c r="I342" s="3">
        <v>82</v>
      </c>
      <c r="J342" s="3"/>
      <c r="K342" s="3"/>
      <c r="L342" s="3"/>
      <c r="M342" s="3">
        <v>76</v>
      </c>
    </row>
    <row r="343" ht="20" customHeight="1" spans="1:13">
      <c r="A343" s="2">
        <v>342</v>
      </c>
      <c r="B343" s="2">
        <v>20230801135</v>
      </c>
      <c r="C343" s="2" t="s">
        <v>43</v>
      </c>
      <c r="D343" s="3">
        <v>95.68</v>
      </c>
      <c r="E343" s="3">
        <v>75.73</v>
      </c>
      <c r="F343" s="3">
        <v>88</v>
      </c>
      <c r="G343" s="3">
        <v>4</v>
      </c>
      <c r="H343" s="3">
        <v>0</v>
      </c>
      <c r="I343" s="3">
        <v>86.942</v>
      </c>
      <c r="J343" s="3"/>
      <c r="K343" s="3"/>
      <c r="L343" s="3" t="s">
        <v>21</v>
      </c>
      <c r="M343" s="3">
        <v>75.73</v>
      </c>
    </row>
    <row r="344" ht="20" customHeight="1" spans="1:13">
      <c r="A344" s="2">
        <v>343</v>
      </c>
      <c r="B344" s="2">
        <v>20230802136</v>
      </c>
      <c r="C344" s="2" t="s">
        <v>153</v>
      </c>
      <c r="D344" s="3">
        <v>97.15</v>
      </c>
      <c r="E344" s="3">
        <v>75.64</v>
      </c>
      <c r="F344" s="3">
        <v>78.75</v>
      </c>
      <c r="G344" s="3">
        <v>4</v>
      </c>
      <c r="H344" s="3"/>
      <c r="I344" s="3">
        <v>86.404</v>
      </c>
      <c r="J344" s="3"/>
      <c r="K344" s="3"/>
      <c r="L344" s="3"/>
      <c r="M344" s="3">
        <v>75.64</v>
      </c>
    </row>
  </sheetData>
  <autoFilter ref="A1:M344">
    <extLst/>
  </autoFilter>
  <sortState ref="A2:M344">
    <sortCondition ref="M2:M344" descending="1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23广电工</vt:lpstr>
      <vt:lpstr>23计科1班</vt:lpstr>
      <vt:lpstr>23计科2班</vt:lpstr>
      <vt:lpstr>23计科3班</vt:lpstr>
      <vt:lpstr>23数媒技术1班</vt:lpstr>
      <vt:lpstr>23数媒技术2班</vt:lpstr>
      <vt:lpstr>23数媒技术3班</vt:lpstr>
      <vt:lpstr>23智科1班</vt:lpstr>
      <vt:lpstr>23智科2班</vt:lpstr>
      <vt:lpstr>23数媒技术（专转本）1班</vt:lpstr>
      <vt:lpstr>23数媒技术（专转本）2班</vt:lpstr>
      <vt:lpstr>23数媒技术（专转本）3班</vt:lpstr>
      <vt:lpstr>23数媒技术（专转本）4班</vt:lpstr>
      <vt:lpstr>23计科（专转本）1班</vt:lpstr>
      <vt:lpstr>23计科（专转本）2班</vt:lpstr>
      <vt:lpstr>23计科（专转本）3班</vt:lpstr>
      <vt:lpstr>23计科（专转本）4班</vt:lpstr>
      <vt:lpstr>23计科（专转本）5班</vt:lpstr>
      <vt:lpstr>23计科（专转本）6班</vt:lpstr>
      <vt:lpstr>23计科（3+2）1班</vt:lpstr>
      <vt:lpstr>23计科（3+2）2班</vt:lpstr>
      <vt:lpstr>23计科（3+2）3班</vt:lpstr>
      <vt:lpstr>23数媒技术（3+2）1班</vt:lpstr>
      <vt:lpstr>23数媒技术（3+2）2班</vt:lpstr>
      <vt:lpstr>23级综测前百分之四十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Sophia</cp:lastModifiedBy>
  <dcterms:created xsi:type="dcterms:W3CDTF">2023-05-13T03:15:00Z</dcterms:created>
  <dcterms:modified xsi:type="dcterms:W3CDTF">2026-09-29T18:00:04Z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2052-6.2.0.8299</vt:lpwstr>
  </property>
  <property fmtid="{D5CDD505-2E9C-101B-9397-08002B2CF9AE}" pid="3" name="ICV">
    <vt:lpwstr>6827BD1F7F00C9BA3050BA6ABB3530E8_43</vt:lpwstr>
  </property>
  <property fmtid="{D5CDD505-2E9C-101B-9397-08002B2CF9AE}" pid="4" name="CalculationRule">
    <vt:i4>0</vt:i4>
  </property>
</Properties>
</file>